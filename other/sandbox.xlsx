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LocalFiles\Github\HBSC\other\"/>
    </mc:Choice>
  </mc:AlternateContent>
  <xr:revisionPtr revIDLastSave="0" documentId="8_{CAC968DA-336E-4826-8C61-910C4748226B}" xr6:coauthVersionLast="47" xr6:coauthVersionMax="47" xr10:uidLastSave="{00000000-0000-0000-0000-000000000000}"/>
  <bookViews>
    <workbookView xWindow="-120" yWindow="-120" windowWidth="29040" windowHeight="15720" xr2:uid="{BEF22D9D-CBBE-4283-A1B7-07D9513946E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  <c r="C50" i="1"/>
  <c r="C28" i="1"/>
  <c r="C3" i="1"/>
  <c r="C4" i="1"/>
  <c r="C5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9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2" i="1"/>
</calcChain>
</file>

<file path=xl/sharedStrings.xml><?xml version="1.0" encoding="utf-8"?>
<sst xmlns="http://schemas.openxmlformats.org/spreadsheetml/2006/main" count="83" uniqueCount="80">
  <si>
    <t>8000 Albania 1765 0.7%</t>
  </si>
  <si>
    <t>31000 Azerbaijan 4586 1.9%</t>
  </si>
  <si>
    <t>40000 Austria 4129 1.7%</t>
  </si>
  <si>
    <t>51000 Armenia 4717 1.9%</t>
  </si>
  <si>
    <t>56001 Belgium (Flemish) 4333 1.8%</t>
  </si>
  <si>
    <t>56002 Belgium (French) 5578 2.3%</t>
  </si>
  <si>
    <t>100000 Bulgaria 4548 1.9%</t>
  </si>
  <si>
    <t>124000 Canada 12950 5.3%</t>
  </si>
  <si>
    <t>191000 Croatia 5169 2.1%</t>
  </si>
  <si>
    <t>203000 Czech Republic 11564 4.7%</t>
  </si>
  <si>
    <t>208000 Denmark 3181 1.3%</t>
  </si>
  <si>
    <t>233000 Estonia 4725 1.9%</t>
  </si>
  <si>
    <t>246000 Finland 3146 1.3%</t>
  </si>
  <si>
    <t>250000 France 9170 3.8%</t>
  </si>
  <si>
    <t>268000 Georgia 4242 1.7%</t>
  </si>
  <si>
    <t>276000 Germany 4347 1.8%</t>
  </si>
  <si>
    <t>300000 Greece 3863 1.6%</t>
  </si>
  <si>
    <t>304000 Greenland 1243 0.5%</t>
  </si>
  <si>
    <t>348000 Hungary 3789 1.6%</t>
  </si>
  <si>
    <t>352000 Iceland 6996 2.9%</t>
  </si>
  <si>
    <t>372000 Ireland 3833 1.6%</t>
  </si>
  <si>
    <t>376000 Israel 7712 3.2%</t>
  </si>
  <si>
    <t>380000 Italy 4144 1.7%</t>
  </si>
  <si>
    <t>398000 Kazakhstan 4868 2.0%</t>
  </si>
  <si>
    <t>428000 Latvia 4412 1.8%</t>
  </si>
  <si>
    <t>440000 Lithuania 3797 1.6%</t>
  </si>
  <si>
    <t>442000 Luxembourg</t>
  </si>
  <si>
    <t>470000 Malta 2576 1.1%</t>
  </si>
  <si>
    <t>498000 Republic of Moldova 4686 1.9%</t>
  </si>
  <si>
    <t>528000 Netherlands 4698 1.9%</t>
  </si>
  <si>
    <t>578000 Norway 3127 1.3%</t>
  </si>
  <si>
    <t>616000 Poland 5224 2.1%</t>
  </si>
  <si>
    <t>620000 Portugal 6126 2.5%</t>
  </si>
  <si>
    <t>642000 Romania 4567 1.9%</t>
  </si>
  <si>
    <t>643000 Russia 4281 1.8%</t>
  </si>
  <si>
    <t>688000 Serbia 3933 1.6%</t>
  </si>
  <si>
    <t>703000 Slovakia 4785 2.0%</t>
  </si>
  <si>
    <t>705000 Slovenia 5667 2.3%</t>
  </si>
  <si>
    <t>724000 Spain 4320 1.8%</t>
  </si>
  <si>
    <t>752000 Sweden 4185 1.7%</t>
  </si>
  <si>
    <t>756000 Switzerland 7510 3.1%</t>
  </si>
  <si>
    <t>792000 Turkey 5848 2.4%</t>
  </si>
  <si>
    <t>804000 Ukraine 6660 2.7%</t>
  </si>
  <si>
    <t>807000 Macedonia 4658 1.9%</t>
  </si>
  <si>
    <t>826001 England 3397 1.4%</t>
  </si>
  <si>
    <t>826002 Scotland 5021 2.1%</t>
  </si>
  <si>
    <t>826003 Wales 15951 6.5%</t>
  </si>
  <si>
    <t>826004 Northern Ireland 0</t>
  </si>
  <si>
    <t>840000 USA</t>
  </si>
  <si>
    <t>Belgium (Flemish)</t>
  </si>
  <si>
    <t>Belgium (French)</t>
  </si>
  <si>
    <t>Czech Republic</t>
  </si>
  <si>
    <t>Republic of Moldova</t>
  </si>
  <si>
    <t>Northern Ireland</t>
  </si>
  <si>
    <t>1 About every day 20224 8.5%</t>
  </si>
  <si>
    <t>2 More once/week 25739 10.8%</t>
  </si>
  <si>
    <t>3 About every week 29784 12.5%</t>
  </si>
  <si>
    <t>4 About every month 48898 20.6%</t>
  </si>
  <si>
    <t>5 Rarely or never 112756 47.5%</t>
  </si>
  <si>
    <t>Sysmiss 6696</t>
  </si>
  <si>
    <t>"1"</t>
  </si>
  <si>
    <t>"About every day"</t>
  </si>
  <si>
    <t>"2"</t>
  </si>
  <si>
    <t>"3"</t>
  </si>
  <si>
    <t>"4"</t>
  </si>
  <si>
    <t>"5"</t>
  </si>
  <si>
    <t>"More once/week"</t>
  </si>
  <si>
    <t>"About every week"</t>
  </si>
  <si>
    <t>"About every month"</t>
  </si>
  <si>
    <t>"Rarely or never"</t>
  </si>
  <si>
    <t>country</t>
  </si>
  <si>
    <t>us</t>
  </si>
  <si>
    <t>canada</t>
  </si>
  <si>
    <t>guate</t>
  </si>
  <si>
    <t>strong dis</t>
  </si>
  <si>
    <t>dis</t>
  </si>
  <si>
    <t>agg</t>
  </si>
  <si>
    <t>strong agg</t>
  </si>
  <si>
    <t>Distribution of responses…..</t>
  </si>
  <si>
    <r>
      <rPr>
        <sz val="11"/>
        <color theme="5"/>
        <rFont val="Aptos Narrow"/>
        <family val="2"/>
        <scheme val="minor"/>
      </rPr>
      <t>Strong dis</t>
    </r>
    <r>
      <rPr>
        <sz val="11"/>
        <color theme="1"/>
        <rFont val="Aptos Narrow"/>
        <family val="2"/>
        <scheme val="minor"/>
      </rPr>
      <t xml:space="preserve"> | dis | soso ag |</t>
    </r>
    <r>
      <rPr>
        <sz val="11"/>
        <color rgb="FF0070C0"/>
        <rFont val="Aptos Narrow"/>
        <family val="2"/>
        <scheme val="minor"/>
      </rPr>
      <t xml:space="preserve"> stron add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</si>
</sst>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Sheet3!$F$1</c:f>
              <c:strCache>
                <c:ptCount val="1"/>
                <c:pt idx="0">
                  <c:v>dis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Sheet3!$D$2:$D$4</c:f>
              <c:strCache>
                <c:ptCount val="3"/>
                <c:pt idx="0">
                  <c:v>canada</c:v>
                </c:pt>
                <c:pt idx="1">
                  <c:v>us</c:v>
                </c:pt>
                <c:pt idx="2">
                  <c:v>guate</c:v>
                </c:pt>
              </c:strCache>
            </c:strRef>
          </c:cat>
          <c:val>
            <c:numRef>
              <c:f>Sheet3!$F$2:$F$4</c:f>
              <c:numCache>
                <c:formatCode>0%</c:formatCode>
                <c:ptCount val="3"/>
                <c:pt idx="0">
                  <c:v>-0.4</c:v>
                </c:pt>
                <c:pt idx="1">
                  <c:v>-0.3</c:v>
                </c:pt>
                <c:pt idx="2">
                  <c:v>-0.4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91-42B4-B860-D83ACD41208D}"/>
            </c:ext>
          </c:extLst>
        </c:ser>
        <c:ser>
          <c:idx val="0"/>
          <c:order val="1"/>
          <c:tx>
            <c:strRef>
              <c:f>Sheet3!$E$1</c:f>
              <c:strCache>
                <c:ptCount val="1"/>
                <c:pt idx="0">
                  <c:v>strong dis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Sheet3!$D$2:$D$4</c:f>
              <c:strCache>
                <c:ptCount val="3"/>
                <c:pt idx="0">
                  <c:v>canada</c:v>
                </c:pt>
                <c:pt idx="1">
                  <c:v>us</c:v>
                </c:pt>
                <c:pt idx="2">
                  <c:v>guate</c:v>
                </c:pt>
              </c:strCache>
            </c:strRef>
          </c:cat>
          <c:val>
            <c:numRef>
              <c:f>Sheet3!$E$2:$E$4</c:f>
              <c:numCache>
                <c:formatCode>0%</c:formatCode>
                <c:ptCount val="3"/>
                <c:pt idx="0">
                  <c:v>-0.2</c:v>
                </c:pt>
                <c:pt idx="1">
                  <c:v>-0.1</c:v>
                </c:pt>
                <c:pt idx="2">
                  <c:v>-0.4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1-42B4-B860-D83ACD41208D}"/>
            </c:ext>
          </c:extLst>
        </c:ser>
        <c:ser>
          <c:idx val="2"/>
          <c:order val="2"/>
          <c:tx>
            <c:strRef>
              <c:f>Sheet3!$G$1</c:f>
              <c:strCache>
                <c:ptCount val="1"/>
                <c:pt idx="0">
                  <c:v>agg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Sheet3!$D$2:$D$4</c:f>
              <c:strCache>
                <c:ptCount val="3"/>
                <c:pt idx="0">
                  <c:v>canada</c:v>
                </c:pt>
                <c:pt idx="1">
                  <c:v>us</c:v>
                </c:pt>
                <c:pt idx="2">
                  <c:v>guate</c:v>
                </c:pt>
              </c:strCache>
            </c:strRef>
          </c:cat>
          <c:val>
            <c:numRef>
              <c:f>Sheet3!$G$2:$G$4</c:f>
              <c:numCache>
                <c:formatCode>0%</c:formatCode>
                <c:ptCount val="3"/>
                <c:pt idx="0">
                  <c:v>0.1</c:v>
                </c:pt>
                <c:pt idx="1">
                  <c:v>0.5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1-42B4-B860-D83ACD41208D}"/>
            </c:ext>
          </c:extLst>
        </c:ser>
        <c:ser>
          <c:idx val="3"/>
          <c:order val="3"/>
          <c:tx>
            <c:strRef>
              <c:f>Sheet3!$H$1</c:f>
              <c:strCache>
                <c:ptCount val="1"/>
                <c:pt idx="0">
                  <c:v>strong agg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Sheet3!$D$2:$D$4</c:f>
              <c:strCache>
                <c:ptCount val="3"/>
                <c:pt idx="0">
                  <c:v>canada</c:v>
                </c:pt>
                <c:pt idx="1">
                  <c:v>us</c:v>
                </c:pt>
                <c:pt idx="2">
                  <c:v>guate</c:v>
                </c:pt>
              </c:strCache>
            </c:strRef>
          </c:cat>
          <c:val>
            <c:numRef>
              <c:f>Sheet3!$H$2:$H$4</c:f>
              <c:numCache>
                <c:formatCode>0%</c:formatCode>
                <c:ptCount val="3"/>
                <c:pt idx="0">
                  <c:v>0.3</c:v>
                </c:pt>
                <c:pt idx="1">
                  <c:v>0.1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91-42B4-B860-D83ACD412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608367744"/>
        <c:axId val="1608370144"/>
      </c:barChart>
      <c:catAx>
        <c:axId val="1608367744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low"/>
        <c:crossAx val="1608370144"/>
        <c:crosses val="max"/>
        <c:auto val="1"/>
        <c:lblAlgn val="ctr"/>
        <c:lblOffset val="100"/>
        <c:noMultiLvlLbl val="0"/>
      </c:catAx>
      <c:valAx>
        <c:axId val="1608370144"/>
        <c:scaling>
          <c:orientation val="minMax"/>
        </c:scaling>
        <c:delete val="0"/>
        <c:axPos val="b"/>
        <c:numFmt formatCode="0%;0%" sourceLinked="0"/>
        <c:majorTickMark val="out"/>
        <c:minorTickMark val="out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36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202784</xdr:colOff>
      <xdr:row>0</xdr:row>
      <xdr:rowOff>0</xdr:rowOff>
    </xdr:from>
    <xdr:to>
      <xdr:col>18</xdr:col>
      <xdr:colOff>485240</xdr:colOff>
      <xdr:row>29</xdr:row>
      <xdr:rowOff>71354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698B6-D02A-3BC2-0D7C-361F97EA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2190" y="0"/>
          <a:ext cx="3318550" cy="5595854"/>
        </a:xfrm>
        <a:prstGeom prst="rect">
          <a:avLst/>
        </a:prstGeom>
      </xdr:spPr>
    </xdr:pic>
    <xdr:clientData/>
  </xdr:twoCellAnchor>
  <xdr:twoCellAnchor>
    <xdr:from>
      <xdr:col>1</xdr:col>
      <xdr:colOff>212479</xdr:colOff>
      <xdr:row>12</xdr:row>
      <xdr:rowOff>29308</xdr:rowOff>
    </xdr:from>
    <xdr:to>
      <xdr:col>5</xdr:col>
      <xdr:colOff>102577</xdr:colOff>
      <xdr:row>16</xdr:row>
      <xdr:rowOff>124558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29E5EC-1AE8-E41B-81F2-2D99FA058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FBFF-2936-4E7C-AB47-BB9AD6F13C1C}">
  <dimension ref="A2:E50"/>
  <sheetViews>
    <sheetView tabSelected="1" zoomScale="70" zoomScaleNormal="70" workbookViewId="0">
      <selection activeCell="I29" sqref="I29"/>
    </sheetView>
  </sheetViews>
  <sheetFormatPr defaultRowHeight="15" x14ac:dyDescent="0.25"/>
  <cols>
    <col min="1" max="1" width="35.140625" bestFit="1" customWidth="1"/>
    <col min="3" max="3" width="19.140625" bestFit="1" customWidth="1"/>
    <col min="4" max="4" width="2.28515625" customWidth="1"/>
    <col min="5" max="5" width="31.140625" bestFit="1" customWidth="1"/>
    <col min="6" max="6" width="15.140625" bestFit="1" customWidth="1"/>
  </cols>
  <sheetData>
    <row r="2" spans="1:5" x14ac:dyDescent="0.25">
      <c r="A2" t="s">
        <v>0</v>
      </c>
      <c r="B2" t="str">
        <f>_xlfn.TEXTBEFORE(A2, " ")</f>
        <v>8000</v>
      </c>
      <c r="C2" t="str">
        <f>_xlfn.TEXTBEFORE(_xlfn.TEXTAFTER(A2, " "), " ")</f>
        <v>Albania</v>
      </c>
      <c r="E2" t="str">
        <f>CONCATENATE(B2," : ", "'",C2,"',")</f>
        <v>8000 : 'Albania',</v>
      </c>
    </row>
    <row r="3" spans="1:5" x14ac:dyDescent="0.25">
      <c r="A3" t="s">
        <v>1</v>
      </c>
      <c r="B3" t="str">
        <f t="shared" ref="B3:B50" si="0">_xlfn.TEXTBEFORE(A3, " ")</f>
        <v>31000</v>
      </c>
      <c r="C3" t="str">
        <f t="shared" ref="C3:C50" si="1">_xlfn.TEXTBEFORE(_xlfn.TEXTAFTER(A3, " "), " ")</f>
        <v>Azerbaijan</v>
      </c>
      <c r="E3" t="str">
        <f t="shared" ref="E3:E50" si="2">CONCATENATE(B3," : ", "'",C3,"',")</f>
        <v>31000 : 'Azerbaijan',</v>
      </c>
    </row>
    <row r="4" spans="1:5" x14ac:dyDescent="0.25">
      <c r="A4" t="s">
        <v>2</v>
      </c>
      <c r="B4" t="str">
        <f t="shared" si="0"/>
        <v>40000</v>
      </c>
      <c r="C4" t="str">
        <f t="shared" si="1"/>
        <v>Austria</v>
      </c>
      <c r="E4" t="str">
        <f t="shared" si="2"/>
        <v>40000 : 'Austria',</v>
      </c>
    </row>
    <row r="5" spans="1:5" x14ac:dyDescent="0.25">
      <c r="A5" t="s">
        <v>3</v>
      </c>
      <c r="B5" t="str">
        <f t="shared" si="0"/>
        <v>51000</v>
      </c>
      <c r="C5" t="str">
        <f t="shared" si="1"/>
        <v>Armenia</v>
      </c>
      <c r="E5" t="str">
        <f t="shared" si="2"/>
        <v>51000 : 'Armenia',</v>
      </c>
    </row>
    <row r="6" spans="1:5" x14ac:dyDescent="0.25">
      <c r="A6" t="s">
        <v>4</v>
      </c>
      <c r="B6" t="str">
        <f t="shared" si="0"/>
        <v>56001</v>
      </c>
      <c r="C6" t="s">
        <v>49</v>
      </c>
      <c r="E6" t="str">
        <f t="shared" si="2"/>
        <v>56001 : 'Belgium (Flemish)',</v>
      </c>
    </row>
    <row r="7" spans="1:5" x14ac:dyDescent="0.25">
      <c r="A7" t="s">
        <v>5</v>
      </c>
      <c r="B7" t="str">
        <f t="shared" si="0"/>
        <v>56002</v>
      </c>
      <c r="C7" t="s">
        <v>50</v>
      </c>
      <c r="E7" t="str">
        <f t="shared" si="2"/>
        <v>56002 : 'Belgium (French)',</v>
      </c>
    </row>
    <row r="8" spans="1:5" x14ac:dyDescent="0.25">
      <c r="A8" t="s">
        <v>6</v>
      </c>
      <c r="B8" t="str">
        <f t="shared" si="0"/>
        <v>100000</v>
      </c>
      <c r="C8" t="str">
        <f t="shared" si="1"/>
        <v>Bulgaria</v>
      </c>
      <c r="E8" t="str">
        <f t="shared" si="2"/>
        <v>100000 : 'Bulgaria',</v>
      </c>
    </row>
    <row r="9" spans="1:5" x14ac:dyDescent="0.25">
      <c r="A9" t="s">
        <v>7</v>
      </c>
      <c r="B9" t="str">
        <f t="shared" si="0"/>
        <v>124000</v>
      </c>
      <c r="C9" t="str">
        <f t="shared" si="1"/>
        <v>Canada</v>
      </c>
      <c r="E9" t="str">
        <f t="shared" si="2"/>
        <v>124000 : 'Canada',</v>
      </c>
    </row>
    <row r="10" spans="1:5" x14ac:dyDescent="0.25">
      <c r="A10" t="s">
        <v>8</v>
      </c>
      <c r="B10" t="str">
        <f t="shared" si="0"/>
        <v>191000</v>
      </c>
      <c r="C10" t="str">
        <f t="shared" si="1"/>
        <v>Croatia</v>
      </c>
      <c r="E10" t="str">
        <f t="shared" si="2"/>
        <v>191000 : 'Croatia',</v>
      </c>
    </row>
    <row r="11" spans="1:5" x14ac:dyDescent="0.25">
      <c r="A11" t="s">
        <v>9</v>
      </c>
      <c r="B11" t="str">
        <f t="shared" si="0"/>
        <v>203000</v>
      </c>
      <c r="C11" t="s">
        <v>51</v>
      </c>
      <c r="E11" t="str">
        <f t="shared" si="2"/>
        <v>203000 : 'Czech Republic',</v>
      </c>
    </row>
    <row r="12" spans="1:5" x14ac:dyDescent="0.25">
      <c r="A12" t="s">
        <v>10</v>
      </c>
      <c r="B12" t="str">
        <f t="shared" si="0"/>
        <v>208000</v>
      </c>
      <c r="C12" t="str">
        <f t="shared" si="1"/>
        <v>Denmark</v>
      </c>
      <c r="E12" t="str">
        <f t="shared" si="2"/>
        <v>208000 : 'Denmark',</v>
      </c>
    </row>
    <row r="13" spans="1:5" x14ac:dyDescent="0.25">
      <c r="A13" t="s">
        <v>11</v>
      </c>
      <c r="B13" t="str">
        <f t="shared" si="0"/>
        <v>233000</v>
      </c>
      <c r="C13" t="str">
        <f t="shared" si="1"/>
        <v>Estonia</v>
      </c>
      <c r="E13" t="str">
        <f t="shared" si="2"/>
        <v>233000 : 'Estonia',</v>
      </c>
    </row>
    <row r="14" spans="1:5" x14ac:dyDescent="0.25">
      <c r="A14" t="s">
        <v>12</v>
      </c>
      <c r="B14" t="str">
        <f t="shared" si="0"/>
        <v>246000</v>
      </c>
      <c r="C14" t="str">
        <f t="shared" si="1"/>
        <v>Finland</v>
      </c>
      <c r="E14" t="str">
        <f t="shared" si="2"/>
        <v>246000 : 'Finland',</v>
      </c>
    </row>
    <row r="15" spans="1:5" x14ac:dyDescent="0.25">
      <c r="A15" t="s">
        <v>13</v>
      </c>
      <c r="B15" t="str">
        <f t="shared" si="0"/>
        <v>250000</v>
      </c>
      <c r="C15" t="str">
        <f t="shared" si="1"/>
        <v>France</v>
      </c>
      <c r="E15" t="str">
        <f t="shared" si="2"/>
        <v>250000 : 'France',</v>
      </c>
    </row>
    <row r="16" spans="1:5" x14ac:dyDescent="0.25">
      <c r="A16" t="s">
        <v>14</v>
      </c>
      <c r="B16" t="str">
        <f t="shared" si="0"/>
        <v>268000</v>
      </c>
      <c r="C16" t="str">
        <f t="shared" si="1"/>
        <v>Georgia</v>
      </c>
      <c r="E16" t="str">
        <f t="shared" si="2"/>
        <v>268000 : 'Georgia',</v>
      </c>
    </row>
    <row r="17" spans="1:5" x14ac:dyDescent="0.25">
      <c r="A17" t="s">
        <v>15</v>
      </c>
      <c r="B17" t="str">
        <f t="shared" si="0"/>
        <v>276000</v>
      </c>
      <c r="C17" t="str">
        <f t="shared" si="1"/>
        <v>Germany</v>
      </c>
      <c r="E17" t="str">
        <f t="shared" si="2"/>
        <v>276000 : 'Germany',</v>
      </c>
    </row>
    <row r="18" spans="1:5" x14ac:dyDescent="0.25">
      <c r="A18" t="s">
        <v>16</v>
      </c>
      <c r="B18" t="str">
        <f t="shared" si="0"/>
        <v>300000</v>
      </c>
      <c r="C18" t="str">
        <f t="shared" si="1"/>
        <v>Greece</v>
      </c>
      <c r="E18" t="str">
        <f t="shared" si="2"/>
        <v>300000 : 'Greece',</v>
      </c>
    </row>
    <row r="19" spans="1:5" x14ac:dyDescent="0.25">
      <c r="A19" t="s">
        <v>17</v>
      </c>
      <c r="B19" t="str">
        <f t="shared" si="0"/>
        <v>304000</v>
      </c>
      <c r="C19" t="str">
        <f t="shared" si="1"/>
        <v>Greenland</v>
      </c>
      <c r="E19" t="str">
        <f t="shared" si="2"/>
        <v>304000 : 'Greenland',</v>
      </c>
    </row>
    <row r="20" spans="1:5" x14ac:dyDescent="0.25">
      <c r="A20" t="s">
        <v>18</v>
      </c>
      <c r="B20" t="str">
        <f t="shared" si="0"/>
        <v>348000</v>
      </c>
      <c r="C20" t="str">
        <f t="shared" si="1"/>
        <v>Hungary</v>
      </c>
      <c r="E20" t="str">
        <f t="shared" si="2"/>
        <v>348000 : 'Hungary',</v>
      </c>
    </row>
    <row r="21" spans="1:5" x14ac:dyDescent="0.25">
      <c r="A21" t="s">
        <v>19</v>
      </c>
      <c r="B21" t="str">
        <f t="shared" si="0"/>
        <v>352000</v>
      </c>
      <c r="C21" t="str">
        <f t="shared" si="1"/>
        <v>Iceland</v>
      </c>
      <c r="E21" t="str">
        <f t="shared" si="2"/>
        <v>352000 : 'Iceland',</v>
      </c>
    </row>
    <row r="22" spans="1:5" x14ac:dyDescent="0.25">
      <c r="A22" t="s">
        <v>20</v>
      </c>
      <c r="B22" t="str">
        <f t="shared" si="0"/>
        <v>372000</v>
      </c>
      <c r="C22" t="str">
        <f t="shared" si="1"/>
        <v>Ireland</v>
      </c>
      <c r="E22" t="str">
        <f t="shared" si="2"/>
        <v>372000 : 'Ireland',</v>
      </c>
    </row>
    <row r="23" spans="1:5" x14ac:dyDescent="0.25">
      <c r="A23" t="s">
        <v>21</v>
      </c>
      <c r="B23" t="str">
        <f t="shared" si="0"/>
        <v>376000</v>
      </c>
      <c r="C23" t="str">
        <f t="shared" si="1"/>
        <v>Israel</v>
      </c>
      <c r="E23" t="str">
        <f t="shared" si="2"/>
        <v>376000 : 'Israel',</v>
      </c>
    </row>
    <row r="24" spans="1:5" x14ac:dyDescent="0.25">
      <c r="A24" t="s">
        <v>22</v>
      </c>
      <c r="B24" t="str">
        <f t="shared" si="0"/>
        <v>380000</v>
      </c>
      <c r="C24" t="str">
        <f t="shared" si="1"/>
        <v>Italy</v>
      </c>
      <c r="E24" t="str">
        <f t="shared" si="2"/>
        <v>380000 : 'Italy',</v>
      </c>
    </row>
    <row r="25" spans="1:5" x14ac:dyDescent="0.25">
      <c r="A25" t="s">
        <v>23</v>
      </c>
      <c r="B25" t="str">
        <f t="shared" si="0"/>
        <v>398000</v>
      </c>
      <c r="C25" t="str">
        <f t="shared" si="1"/>
        <v>Kazakhstan</v>
      </c>
      <c r="E25" t="str">
        <f t="shared" si="2"/>
        <v>398000 : 'Kazakhstan',</v>
      </c>
    </row>
    <row r="26" spans="1:5" x14ac:dyDescent="0.25">
      <c r="A26" t="s">
        <v>24</v>
      </c>
      <c r="B26" t="str">
        <f t="shared" si="0"/>
        <v>428000</v>
      </c>
      <c r="C26" t="str">
        <f t="shared" si="1"/>
        <v>Latvia</v>
      </c>
      <c r="E26" t="str">
        <f t="shared" si="2"/>
        <v>428000 : 'Latvia',</v>
      </c>
    </row>
    <row r="27" spans="1:5" x14ac:dyDescent="0.25">
      <c r="A27" t="s">
        <v>25</v>
      </c>
      <c r="B27" t="str">
        <f t="shared" si="0"/>
        <v>440000</v>
      </c>
      <c r="C27" t="str">
        <f t="shared" si="1"/>
        <v>Lithuania</v>
      </c>
      <c r="E27" t="str">
        <f t="shared" si="2"/>
        <v>440000 : 'Lithuania',</v>
      </c>
    </row>
    <row r="28" spans="1:5" x14ac:dyDescent="0.25">
      <c r="A28" t="s">
        <v>26</v>
      </c>
      <c r="B28" t="str">
        <f t="shared" si="0"/>
        <v>442000</v>
      </c>
      <c r="C28" t="str">
        <f>_xlfn.TEXTAFTER(A28, " ")</f>
        <v>Luxembourg</v>
      </c>
      <c r="E28" t="str">
        <f t="shared" si="2"/>
        <v>442000 : 'Luxembourg',</v>
      </c>
    </row>
    <row r="29" spans="1:5" x14ac:dyDescent="0.25">
      <c r="A29" t="s">
        <v>27</v>
      </c>
      <c r="B29" t="str">
        <f t="shared" si="0"/>
        <v>470000</v>
      </c>
      <c r="C29" t="str">
        <f t="shared" si="1"/>
        <v>Malta</v>
      </c>
      <c r="E29" t="str">
        <f t="shared" si="2"/>
        <v>470000 : 'Malta',</v>
      </c>
    </row>
    <row r="30" spans="1:5" x14ac:dyDescent="0.25">
      <c r="A30" t="s">
        <v>28</v>
      </c>
      <c r="B30" t="str">
        <f t="shared" si="0"/>
        <v>498000</v>
      </c>
      <c r="C30" t="s">
        <v>52</v>
      </c>
      <c r="E30" t="str">
        <f t="shared" si="2"/>
        <v>498000 : 'Republic of Moldova',</v>
      </c>
    </row>
    <row r="31" spans="1:5" x14ac:dyDescent="0.25">
      <c r="A31" t="s">
        <v>29</v>
      </c>
      <c r="B31" t="str">
        <f t="shared" si="0"/>
        <v>528000</v>
      </c>
      <c r="C31" t="str">
        <f t="shared" si="1"/>
        <v>Netherlands</v>
      </c>
      <c r="E31" t="str">
        <f t="shared" si="2"/>
        <v>528000 : 'Netherlands',</v>
      </c>
    </row>
    <row r="32" spans="1:5" x14ac:dyDescent="0.25">
      <c r="A32" t="s">
        <v>30</v>
      </c>
      <c r="B32" t="str">
        <f t="shared" si="0"/>
        <v>578000</v>
      </c>
      <c r="C32" t="str">
        <f t="shared" si="1"/>
        <v>Norway</v>
      </c>
      <c r="E32" t="str">
        <f t="shared" si="2"/>
        <v>578000 : 'Norway',</v>
      </c>
    </row>
    <row r="33" spans="1:5" x14ac:dyDescent="0.25">
      <c r="A33" t="s">
        <v>31</v>
      </c>
      <c r="B33" t="str">
        <f t="shared" si="0"/>
        <v>616000</v>
      </c>
      <c r="C33" t="str">
        <f t="shared" si="1"/>
        <v>Poland</v>
      </c>
      <c r="E33" t="str">
        <f t="shared" si="2"/>
        <v>616000 : 'Poland',</v>
      </c>
    </row>
    <row r="34" spans="1:5" x14ac:dyDescent="0.25">
      <c r="A34" t="s">
        <v>32</v>
      </c>
      <c r="B34" t="str">
        <f t="shared" si="0"/>
        <v>620000</v>
      </c>
      <c r="C34" t="str">
        <f t="shared" si="1"/>
        <v>Portugal</v>
      </c>
      <c r="E34" t="str">
        <f t="shared" si="2"/>
        <v>620000 : 'Portugal',</v>
      </c>
    </row>
    <row r="35" spans="1:5" x14ac:dyDescent="0.25">
      <c r="A35" t="s">
        <v>33</v>
      </c>
      <c r="B35" t="str">
        <f t="shared" si="0"/>
        <v>642000</v>
      </c>
      <c r="C35" t="str">
        <f t="shared" si="1"/>
        <v>Romania</v>
      </c>
      <c r="E35" t="str">
        <f t="shared" si="2"/>
        <v>642000 : 'Romania',</v>
      </c>
    </row>
    <row r="36" spans="1:5" x14ac:dyDescent="0.25">
      <c r="A36" t="s">
        <v>34</v>
      </c>
      <c r="B36" t="str">
        <f t="shared" si="0"/>
        <v>643000</v>
      </c>
      <c r="C36" t="str">
        <f t="shared" si="1"/>
        <v>Russia</v>
      </c>
      <c r="E36" t="str">
        <f t="shared" si="2"/>
        <v>643000 : 'Russia',</v>
      </c>
    </row>
    <row r="37" spans="1:5" x14ac:dyDescent="0.25">
      <c r="A37" t="s">
        <v>35</v>
      </c>
      <c r="B37" t="str">
        <f t="shared" si="0"/>
        <v>688000</v>
      </c>
      <c r="C37" t="str">
        <f t="shared" si="1"/>
        <v>Serbia</v>
      </c>
      <c r="E37" t="str">
        <f t="shared" si="2"/>
        <v>688000 : 'Serbia',</v>
      </c>
    </row>
    <row r="38" spans="1:5" x14ac:dyDescent="0.25">
      <c r="A38" t="s">
        <v>36</v>
      </c>
      <c r="B38" t="str">
        <f t="shared" si="0"/>
        <v>703000</v>
      </c>
      <c r="C38" t="str">
        <f t="shared" si="1"/>
        <v>Slovakia</v>
      </c>
      <c r="E38" t="str">
        <f t="shared" si="2"/>
        <v>703000 : 'Slovakia',</v>
      </c>
    </row>
    <row r="39" spans="1:5" x14ac:dyDescent="0.25">
      <c r="A39" t="s">
        <v>37</v>
      </c>
      <c r="B39" t="str">
        <f t="shared" si="0"/>
        <v>705000</v>
      </c>
      <c r="C39" t="str">
        <f t="shared" si="1"/>
        <v>Slovenia</v>
      </c>
      <c r="E39" t="str">
        <f t="shared" si="2"/>
        <v>705000 : 'Slovenia',</v>
      </c>
    </row>
    <row r="40" spans="1:5" x14ac:dyDescent="0.25">
      <c r="A40" t="s">
        <v>38</v>
      </c>
      <c r="B40" t="str">
        <f t="shared" si="0"/>
        <v>724000</v>
      </c>
      <c r="C40" t="str">
        <f t="shared" si="1"/>
        <v>Spain</v>
      </c>
      <c r="E40" t="str">
        <f t="shared" si="2"/>
        <v>724000 : 'Spain',</v>
      </c>
    </row>
    <row r="41" spans="1:5" x14ac:dyDescent="0.25">
      <c r="A41" t="s">
        <v>39</v>
      </c>
      <c r="B41" t="str">
        <f t="shared" si="0"/>
        <v>752000</v>
      </c>
      <c r="C41" t="str">
        <f t="shared" si="1"/>
        <v>Sweden</v>
      </c>
      <c r="E41" t="str">
        <f t="shared" si="2"/>
        <v>752000 : 'Sweden',</v>
      </c>
    </row>
    <row r="42" spans="1:5" x14ac:dyDescent="0.25">
      <c r="A42" t="s">
        <v>40</v>
      </c>
      <c r="B42" t="str">
        <f t="shared" si="0"/>
        <v>756000</v>
      </c>
      <c r="C42" t="str">
        <f t="shared" si="1"/>
        <v>Switzerland</v>
      </c>
      <c r="E42" t="str">
        <f t="shared" si="2"/>
        <v>756000 : 'Switzerland',</v>
      </c>
    </row>
    <row r="43" spans="1:5" x14ac:dyDescent="0.25">
      <c r="A43" t="s">
        <v>41</v>
      </c>
      <c r="B43" t="str">
        <f t="shared" si="0"/>
        <v>792000</v>
      </c>
      <c r="C43" t="str">
        <f t="shared" si="1"/>
        <v>Turkey</v>
      </c>
      <c r="E43" t="str">
        <f t="shared" si="2"/>
        <v>792000 : 'Turkey',</v>
      </c>
    </row>
    <row r="44" spans="1:5" x14ac:dyDescent="0.25">
      <c r="A44" t="s">
        <v>42</v>
      </c>
      <c r="B44" t="str">
        <f t="shared" si="0"/>
        <v>804000</v>
      </c>
      <c r="C44" t="str">
        <f t="shared" si="1"/>
        <v>Ukraine</v>
      </c>
      <c r="E44" t="str">
        <f t="shared" si="2"/>
        <v>804000 : 'Ukraine',</v>
      </c>
    </row>
    <row r="45" spans="1:5" x14ac:dyDescent="0.25">
      <c r="A45" t="s">
        <v>43</v>
      </c>
      <c r="B45" t="str">
        <f t="shared" si="0"/>
        <v>807000</v>
      </c>
      <c r="C45" t="str">
        <f t="shared" si="1"/>
        <v>Macedonia</v>
      </c>
      <c r="E45" t="str">
        <f t="shared" si="2"/>
        <v>807000 : 'Macedonia',</v>
      </c>
    </row>
    <row r="46" spans="1:5" x14ac:dyDescent="0.25">
      <c r="A46" t="s">
        <v>44</v>
      </c>
      <c r="B46" t="str">
        <f t="shared" si="0"/>
        <v>826001</v>
      </c>
      <c r="C46" t="str">
        <f t="shared" si="1"/>
        <v>England</v>
      </c>
      <c r="E46" t="str">
        <f t="shared" si="2"/>
        <v>826001 : 'England',</v>
      </c>
    </row>
    <row r="47" spans="1:5" x14ac:dyDescent="0.25">
      <c r="A47" t="s">
        <v>45</v>
      </c>
      <c r="B47" t="str">
        <f t="shared" si="0"/>
        <v>826002</v>
      </c>
      <c r="C47" t="str">
        <f t="shared" si="1"/>
        <v>Scotland</v>
      </c>
      <c r="E47" t="str">
        <f t="shared" si="2"/>
        <v>826002 : 'Scotland',</v>
      </c>
    </row>
    <row r="48" spans="1:5" x14ac:dyDescent="0.25">
      <c r="A48" t="s">
        <v>46</v>
      </c>
      <c r="B48" t="str">
        <f t="shared" si="0"/>
        <v>826003</v>
      </c>
      <c r="C48" t="str">
        <f t="shared" si="1"/>
        <v>Wales</v>
      </c>
      <c r="E48" t="str">
        <f t="shared" si="2"/>
        <v>826003 : 'Wales',</v>
      </c>
    </row>
    <row r="49" spans="1:5" x14ac:dyDescent="0.25">
      <c r="A49" t="s">
        <v>47</v>
      </c>
      <c r="B49" t="str">
        <f t="shared" si="0"/>
        <v>826004</v>
      </c>
      <c r="C49" t="s">
        <v>53</v>
      </c>
      <c r="E49" t="str">
        <f t="shared" si="2"/>
        <v>826004 : 'Northern Ireland',</v>
      </c>
    </row>
    <row r="50" spans="1:5" x14ac:dyDescent="0.25">
      <c r="A50" t="s">
        <v>48</v>
      </c>
      <c r="B50" t="str">
        <f t="shared" si="0"/>
        <v>840000</v>
      </c>
      <c r="C50" t="str">
        <f>_xlfn.TEXTAFTER(A50, " ")</f>
        <v>USA</v>
      </c>
      <c r="E50" t="str">
        <f t="shared" si="2"/>
        <v>840000 : 'USA',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2C67-D2A0-4F91-8FD8-356B26EA4267}">
  <dimension ref="A2:D7"/>
  <sheetViews>
    <sheetView workbookViewId="0">
      <selection activeCell="F21" sqref="F21"/>
    </sheetView>
  </sheetViews>
  <sheetFormatPr defaultRowHeight="15" x14ac:dyDescent="0.25"/>
  <cols>
    <col min="1" max="1" width="30.28515625" bestFit="1" customWidth="1"/>
    <col min="4" max="4" width="16.140625" bestFit="1" customWidth="1"/>
  </cols>
  <sheetData>
    <row r="2" spans="1:4" x14ac:dyDescent="0.25">
      <c r="A2" t="s">
        <v>54</v>
      </c>
      <c r="C2" s="1" t="s">
        <v>60</v>
      </c>
      <c r="D2" s="1" t="s">
        <v>61</v>
      </c>
    </row>
    <row r="3" spans="1:4" x14ac:dyDescent="0.25">
      <c r="A3" t="s">
        <v>55</v>
      </c>
      <c r="C3" t="s">
        <v>62</v>
      </c>
      <c r="D3" t="s">
        <v>66</v>
      </c>
    </row>
    <row r="4" spans="1:4" x14ac:dyDescent="0.25">
      <c r="A4" t="s">
        <v>56</v>
      </c>
      <c r="C4" s="1" t="s">
        <v>63</v>
      </c>
      <c r="D4" t="s">
        <v>67</v>
      </c>
    </row>
    <row r="5" spans="1:4" x14ac:dyDescent="0.25">
      <c r="A5" t="s">
        <v>57</v>
      </c>
      <c r="C5" t="s">
        <v>64</v>
      </c>
      <c r="D5" t="s">
        <v>68</v>
      </c>
    </row>
    <row r="6" spans="1:4" x14ac:dyDescent="0.25">
      <c r="A6" t="s">
        <v>58</v>
      </c>
      <c r="C6" s="1" t="s">
        <v>65</v>
      </c>
      <c r="D6" t="s">
        <v>69</v>
      </c>
    </row>
    <row r="7" spans="1:4" x14ac:dyDescent="0.25">
      <c r="A7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F3D0-01F0-4F3C-A690-06BDDAEFFD50}">
  <dimension ref="A1:K17"/>
  <sheetViews>
    <sheetView zoomScale="130" zoomScaleNormal="130" workbookViewId="0">
      <selection activeCell="G12" sqref="G12"/>
    </sheetView>
  </sheetViews>
  <sheetFormatPr defaultRowHeight="15" x14ac:dyDescent="0.25"/>
  <sheetData>
    <row r="1" spans="1:11" x14ac:dyDescent="0.25">
      <c r="D1" t="s">
        <v>70</v>
      </c>
      <c r="E1" t="s">
        <v>74</v>
      </c>
      <c r="F1" t="s">
        <v>75</v>
      </c>
      <c r="G1" t="s">
        <v>76</v>
      </c>
      <c r="H1" t="s">
        <v>77</v>
      </c>
    </row>
    <row r="2" spans="1:11" x14ac:dyDescent="0.25">
      <c r="B2" s="2"/>
      <c r="C2" s="2"/>
      <c r="D2" t="s">
        <v>72</v>
      </c>
      <c r="E2" s="2">
        <v>-0.2</v>
      </c>
      <c r="F2" s="2">
        <v>-0.4</v>
      </c>
      <c r="G2" s="2">
        <v>0.1</v>
      </c>
      <c r="H2" s="2">
        <v>0.3</v>
      </c>
    </row>
    <row r="3" spans="1:11" x14ac:dyDescent="0.25">
      <c r="B3" s="2"/>
      <c r="C3" s="2"/>
      <c r="D3" t="s">
        <v>71</v>
      </c>
      <c r="E3" s="2">
        <v>-0.1</v>
      </c>
      <c r="F3" s="2">
        <v>-0.3</v>
      </c>
      <c r="G3" s="2">
        <v>0.5</v>
      </c>
      <c r="H3" s="2">
        <v>0.1</v>
      </c>
    </row>
    <row r="4" spans="1:11" x14ac:dyDescent="0.25">
      <c r="B4" s="2"/>
      <c r="C4" s="2"/>
      <c r="D4" t="s">
        <v>73</v>
      </c>
      <c r="E4" s="2">
        <v>-0.4</v>
      </c>
      <c r="F4" s="2">
        <v>-0.4</v>
      </c>
      <c r="G4" s="2">
        <v>0.05</v>
      </c>
      <c r="H4" s="2">
        <v>0.15</v>
      </c>
    </row>
    <row r="5" spans="1:11" x14ac:dyDescent="0.25">
      <c r="B5" s="2"/>
      <c r="C5" s="2"/>
      <c r="D5" s="2"/>
      <c r="I5" s="2"/>
    </row>
    <row r="6" spans="1:11" x14ac:dyDescent="0.25">
      <c r="B6" s="2"/>
      <c r="C6" s="2"/>
      <c r="D6" s="2"/>
      <c r="I6" s="2"/>
    </row>
    <row r="11" spans="1:11" x14ac:dyDescent="0.25">
      <c r="C11" t="s">
        <v>78</v>
      </c>
    </row>
    <row r="12" spans="1:11" x14ac:dyDescent="0.25">
      <c r="C12" t="s">
        <v>79</v>
      </c>
    </row>
    <row r="14" spans="1:11" x14ac:dyDescent="0.25">
      <c r="A14" t="s">
        <v>73</v>
      </c>
      <c r="B14" s="3">
        <v>80</v>
      </c>
      <c r="K14">
        <v>20</v>
      </c>
    </row>
    <row r="15" spans="1:11" x14ac:dyDescent="0.25">
      <c r="A15" t="s">
        <v>71</v>
      </c>
      <c r="B15" s="3">
        <v>40</v>
      </c>
      <c r="K15">
        <v>60</v>
      </c>
    </row>
    <row r="16" spans="1:11" x14ac:dyDescent="0.25">
      <c r="A16" t="s">
        <v>72</v>
      </c>
      <c r="B16" s="3">
        <v>60</v>
      </c>
      <c r="K16">
        <v>40</v>
      </c>
    </row>
    <row r="17" spans="2:2" x14ac:dyDescent="0.25">
      <c r="B1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 Saving Animals</dc:creator>
  <cp:lastModifiedBy>People Saving Animals</cp:lastModifiedBy>
  <dcterms:created xsi:type="dcterms:W3CDTF">2026-03-07T01:17:56Z</dcterms:created>
  <dcterms:modified xsi:type="dcterms:W3CDTF">2026-03-08T15:59:57Z</dcterms:modified>
</cp:coreProperties>
</file>