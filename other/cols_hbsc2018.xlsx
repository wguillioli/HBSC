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other\"/>
    </mc:Choice>
  </mc:AlternateContent>
  <xr:revisionPtr revIDLastSave="0" documentId="13_ncr:1_{30220D21-588B-4A95-9DEB-A0E43A456537}" xr6:coauthVersionLast="47" xr6:coauthVersionMax="47" xr10:uidLastSave="{00000000-0000-0000-0000-000000000000}"/>
  <bookViews>
    <workbookView xWindow="-120" yWindow="-120" windowWidth="29040" windowHeight="15720" xr2:uid="{6075EEDB-BE57-4BE5-AE0A-AA8F7DB9F88A}"/>
  </bookViews>
  <sheets>
    <sheet name="varsCategorized" sheetId="3" r:id="rId1"/>
    <sheet name="cols_hbsc2018" sheetId="1" r:id="rId2"/>
    <sheet name="Sheet1" sheetId="2" r:id="rId3"/>
  </sheets>
  <definedNames>
    <definedName name="_xlnm._FilterDatabase" localSheetId="0" hidden="1">varsCategorized!$A$1:$E$121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3" l="1"/>
  <c r="C74" i="3"/>
  <c r="C75" i="3"/>
  <c r="C76" i="3"/>
  <c r="C77" i="3"/>
  <c r="C78" i="3"/>
  <c r="C79" i="3"/>
  <c r="C80" i="3"/>
  <c r="C68" i="3"/>
  <c r="C69" i="3"/>
  <c r="C70" i="3"/>
  <c r="C71" i="3"/>
  <c r="C98" i="3"/>
  <c r="C99" i="3"/>
  <c r="C100" i="3"/>
  <c r="C101" i="3"/>
  <c r="C102" i="3"/>
  <c r="C103" i="3"/>
  <c r="C59" i="3"/>
  <c r="C60" i="3"/>
  <c r="C61" i="3"/>
  <c r="C62" i="3"/>
  <c r="C63" i="3"/>
  <c r="C64" i="3"/>
  <c r="C54" i="3"/>
  <c r="C47" i="3"/>
  <c r="C55" i="3"/>
  <c r="C56" i="3"/>
  <c r="C57" i="3"/>
  <c r="C48" i="3"/>
  <c r="C49" i="3"/>
  <c r="C50" i="3"/>
  <c r="C51" i="3"/>
  <c r="C52" i="3"/>
  <c r="C53" i="3"/>
  <c r="C38" i="3"/>
  <c r="C39" i="3"/>
  <c r="C40" i="3"/>
  <c r="C41" i="3"/>
  <c r="C42" i="3"/>
  <c r="C43" i="3"/>
  <c r="C44" i="3"/>
  <c r="C65" i="3"/>
  <c r="C45" i="3"/>
  <c r="C46" i="3"/>
  <c r="C110" i="3"/>
  <c r="C111" i="3"/>
  <c r="C112" i="3"/>
  <c r="C113" i="3"/>
  <c r="C114" i="3"/>
  <c r="C115" i="3"/>
  <c r="C104" i="3"/>
  <c r="C105" i="3"/>
  <c r="C81" i="3"/>
  <c r="C82" i="3"/>
  <c r="C83" i="3"/>
  <c r="C84" i="3"/>
  <c r="C85" i="3"/>
  <c r="C86" i="3"/>
  <c r="C87" i="3"/>
  <c r="C88" i="3"/>
  <c r="C2" i="3"/>
  <c r="C3" i="3"/>
  <c r="C4" i="3"/>
  <c r="C5" i="3"/>
  <c r="C6" i="3"/>
  <c r="C58" i="3"/>
  <c r="C34" i="3"/>
  <c r="C35" i="3"/>
  <c r="C36" i="3"/>
  <c r="C37" i="3"/>
  <c r="C27" i="3"/>
  <c r="C28" i="3"/>
  <c r="C29" i="3"/>
  <c r="C30" i="3"/>
  <c r="C31" i="3"/>
  <c r="C32" i="3"/>
  <c r="C33" i="3"/>
  <c r="C89" i="3"/>
  <c r="C90" i="3"/>
  <c r="C91" i="3"/>
  <c r="C92" i="3"/>
  <c r="C93" i="3"/>
  <c r="C94" i="3"/>
  <c r="C95" i="3"/>
  <c r="C96" i="3"/>
  <c r="C97" i="3"/>
  <c r="C118" i="3"/>
  <c r="C119" i="3"/>
  <c r="C120" i="3"/>
  <c r="C121" i="3"/>
  <c r="C106" i="3"/>
  <c r="C72" i="3"/>
  <c r="C73" i="3"/>
  <c r="C7" i="3"/>
  <c r="C8" i="3"/>
  <c r="C9" i="3"/>
  <c r="C10" i="3"/>
  <c r="C11" i="3"/>
  <c r="C12" i="3"/>
  <c r="C13" i="3"/>
  <c r="C14" i="3"/>
  <c r="C15" i="3"/>
  <c r="C16" i="3"/>
  <c r="C19" i="3"/>
  <c r="C20" i="3"/>
  <c r="C21" i="3"/>
  <c r="C22" i="3"/>
  <c r="C23" i="3"/>
  <c r="C24" i="3"/>
  <c r="C25" i="3"/>
  <c r="C26" i="3"/>
  <c r="C107" i="3"/>
  <c r="C17" i="3"/>
  <c r="C18" i="3"/>
  <c r="C108" i="3"/>
  <c r="C109" i="3"/>
  <c r="C66" i="3"/>
  <c r="B67" i="3"/>
  <c r="B74" i="3"/>
  <c r="B75" i="3"/>
  <c r="B76" i="3"/>
  <c r="B77" i="3"/>
  <c r="B78" i="3"/>
  <c r="B79" i="3"/>
  <c r="B80" i="3"/>
  <c r="B68" i="3"/>
  <c r="B69" i="3"/>
  <c r="B70" i="3"/>
  <c r="B71" i="3"/>
  <c r="B98" i="3"/>
  <c r="B99" i="3"/>
  <c r="B100" i="3"/>
  <c r="B101" i="3"/>
  <c r="B102" i="3"/>
  <c r="B103" i="3"/>
  <c r="B59" i="3"/>
  <c r="B60" i="3"/>
  <c r="B61" i="3"/>
  <c r="B62" i="3"/>
  <c r="B63" i="3"/>
  <c r="B64" i="3"/>
  <c r="B54" i="3"/>
  <c r="B47" i="3"/>
  <c r="B55" i="3"/>
  <c r="B56" i="3"/>
  <c r="B57" i="3"/>
  <c r="B48" i="3"/>
  <c r="B49" i="3"/>
  <c r="B50" i="3"/>
  <c r="B51" i="3"/>
  <c r="B52" i="3"/>
  <c r="B53" i="3"/>
  <c r="B38" i="3"/>
  <c r="B39" i="3"/>
  <c r="B40" i="3"/>
  <c r="B41" i="3"/>
  <c r="B42" i="3"/>
  <c r="B43" i="3"/>
  <c r="B44" i="3"/>
  <c r="B65" i="3"/>
  <c r="B45" i="3"/>
  <c r="B46" i="3"/>
  <c r="B110" i="3"/>
  <c r="B111" i="3"/>
  <c r="B112" i="3"/>
  <c r="B113" i="3"/>
  <c r="B114" i="3"/>
  <c r="B115" i="3"/>
  <c r="B116" i="3"/>
  <c r="B117" i="3"/>
  <c r="B104" i="3"/>
  <c r="B105" i="3"/>
  <c r="B81" i="3"/>
  <c r="B82" i="3"/>
  <c r="B83" i="3"/>
  <c r="B84" i="3"/>
  <c r="B85" i="3"/>
  <c r="B86" i="3"/>
  <c r="B87" i="3"/>
  <c r="B88" i="3"/>
  <c r="B2" i="3"/>
  <c r="B3" i="3"/>
  <c r="B4" i="3"/>
  <c r="B5" i="3"/>
  <c r="B6" i="3"/>
  <c r="B58" i="3"/>
  <c r="B34" i="3"/>
  <c r="B35" i="3"/>
  <c r="B36" i="3"/>
  <c r="B37" i="3"/>
  <c r="B27" i="3"/>
  <c r="B28" i="3"/>
  <c r="B29" i="3"/>
  <c r="B30" i="3"/>
  <c r="B31" i="3"/>
  <c r="B32" i="3"/>
  <c r="B33" i="3"/>
  <c r="B89" i="3"/>
  <c r="B90" i="3"/>
  <c r="B91" i="3"/>
  <c r="B92" i="3"/>
  <c r="B93" i="3"/>
  <c r="B94" i="3"/>
  <c r="B95" i="3"/>
  <c r="B96" i="3"/>
  <c r="B97" i="3"/>
  <c r="B118" i="3"/>
  <c r="B119" i="3"/>
  <c r="B120" i="3"/>
  <c r="B121" i="3"/>
  <c r="B106" i="3"/>
  <c r="B72" i="3"/>
  <c r="B73" i="3"/>
  <c r="B7" i="3"/>
  <c r="B8" i="3"/>
  <c r="B9" i="3"/>
  <c r="B10" i="3"/>
  <c r="B11" i="3"/>
  <c r="B12" i="3"/>
  <c r="B13" i="3"/>
  <c r="B14" i="3"/>
  <c r="B15" i="3"/>
  <c r="B16" i="3"/>
  <c r="B19" i="3"/>
  <c r="B20" i="3"/>
  <c r="B21" i="3"/>
  <c r="B22" i="3"/>
  <c r="B23" i="3"/>
  <c r="B24" i="3"/>
  <c r="B25" i="3"/>
  <c r="B26" i="3"/>
  <c r="B107" i="3"/>
  <c r="B17" i="3"/>
  <c r="B18" i="3"/>
  <c r="B108" i="3"/>
  <c r="B109" i="3"/>
  <c r="B66" i="3"/>
</calcChain>
</file>

<file path=xl/sharedStrings.xml><?xml version="1.0" encoding="utf-8"?>
<sst xmlns="http://schemas.openxmlformats.org/spreadsheetml/2006/main" count="735" uniqueCount="496">
  <si>
    <t>HBSC</t>
  </si>
  <si>
    <t>seqno_int</t>
  </si>
  <si>
    <t>cluster</t>
  </si>
  <si>
    <t>countryno</t>
  </si>
  <si>
    <t>region</t>
  </si>
  <si>
    <t>id1</t>
  </si>
  <si>
    <t>id2</t>
  </si>
  <si>
    <t>id3</t>
  </si>
  <si>
    <t>id4</t>
  </si>
  <si>
    <t>weight</t>
  </si>
  <si>
    <t>adm</t>
  </si>
  <si>
    <t>month</t>
  </si>
  <si>
    <t>year</t>
  </si>
  <si>
    <t>age</t>
  </si>
  <si>
    <t>agecat</t>
  </si>
  <si>
    <t>sex</t>
  </si>
  <si>
    <t>grade</t>
  </si>
  <si>
    <t>monthbirth</t>
  </si>
  <si>
    <t>yearbirth</t>
  </si>
  <si>
    <t>fasfamcar</t>
  </si>
  <si>
    <t>fasbedroom</t>
  </si>
  <si>
    <t>fascomputers</t>
  </si>
  <si>
    <t>fasbathroom</t>
  </si>
  <si>
    <t>fasdishwash</t>
  </si>
  <si>
    <t>fasholidays</t>
  </si>
  <si>
    <t>health</t>
  </si>
  <si>
    <t>lifesat</t>
  </si>
  <si>
    <t>headache</t>
  </si>
  <si>
    <t>stomachache</t>
  </si>
  <si>
    <t>backache</t>
  </si>
  <si>
    <t>feellow</t>
  </si>
  <si>
    <t>irritable</t>
  </si>
  <si>
    <t>nervous</t>
  </si>
  <si>
    <t>sleepdificulty</t>
  </si>
  <si>
    <t>dizzy</t>
  </si>
  <si>
    <t>thinkbody</t>
  </si>
  <si>
    <t>physact60</t>
  </si>
  <si>
    <t>breakfastwd</t>
  </si>
  <si>
    <t>breakfastwe</t>
  </si>
  <si>
    <t>fruits_2</t>
  </si>
  <si>
    <t>vegetables_2</t>
  </si>
  <si>
    <t>sweets_2</t>
  </si>
  <si>
    <t>softdrinks_2</t>
  </si>
  <si>
    <t>fmeal</t>
  </si>
  <si>
    <t>toothbr</t>
  </si>
  <si>
    <t>timeexe</t>
  </si>
  <si>
    <t>smokltm</t>
  </si>
  <si>
    <t>smok30d_2</t>
  </si>
  <si>
    <t>alcltm</t>
  </si>
  <si>
    <t>alc30d_2</t>
  </si>
  <si>
    <t>drunkltm</t>
  </si>
  <si>
    <t>drunk30d</t>
  </si>
  <si>
    <t>cannabisltm_2</t>
  </si>
  <si>
    <t>cannabis30d_2</t>
  </si>
  <si>
    <t>bodyweight</t>
  </si>
  <si>
    <t>bodyheight</t>
  </si>
  <si>
    <t>likeschool</t>
  </si>
  <si>
    <t>schoolpressure</t>
  </si>
  <si>
    <t>studtogether</t>
  </si>
  <si>
    <t>studhelpful</t>
  </si>
  <si>
    <t>studaccept</t>
  </si>
  <si>
    <t>teacheraccept</t>
  </si>
  <si>
    <t>teachercare</t>
  </si>
  <si>
    <t>teachertrust</t>
  </si>
  <si>
    <t>bulliedothers</t>
  </si>
  <si>
    <t>beenbullied</t>
  </si>
  <si>
    <t>cbulliedothers</t>
  </si>
  <si>
    <t>cbeenbullied</t>
  </si>
  <si>
    <t>fight12m</t>
  </si>
  <si>
    <t>injured12m</t>
  </si>
  <si>
    <t>friendhelp</t>
  </si>
  <si>
    <t>friendcounton</t>
  </si>
  <si>
    <t>friendshare</t>
  </si>
  <si>
    <t>friendtalk</t>
  </si>
  <si>
    <t>emconlfreq1</t>
  </si>
  <si>
    <t>emconlfreq2</t>
  </si>
  <si>
    <t>emconlfreq3</t>
  </si>
  <si>
    <t>emconlfreq4</t>
  </si>
  <si>
    <t>emconlpref1</t>
  </si>
  <si>
    <t>emconlpref2</t>
  </si>
  <si>
    <t>emconlpref3</t>
  </si>
  <si>
    <t>emcsocmed1</t>
  </si>
  <si>
    <t>emcsocmed2</t>
  </si>
  <si>
    <t>emcsocmed3</t>
  </si>
  <si>
    <t>emcsocmed4</t>
  </si>
  <si>
    <t>emcsocmed5</t>
  </si>
  <si>
    <t>emcsocmed6</t>
  </si>
  <si>
    <t>emcsocmed7</t>
  </si>
  <si>
    <t>emcsocmed8</t>
  </si>
  <si>
    <t>emcsocmed9</t>
  </si>
  <si>
    <t>hadsex</t>
  </si>
  <si>
    <t>agesex</t>
  </si>
  <si>
    <t>contraceptcondom</t>
  </si>
  <si>
    <t>contraceptpill</t>
  </si>
  <si>
    <t>countryborn</t>
  </si>
  <si>
    <t>countrybornmo</t>
  </si>
  <si>
    <t>countrybornfa</t>
  </si>
  <si>
    <t>motherhome1</t>
  </si>
  <si>
    <t>fatherhome1</t>
  </si>
  <si>
    <t>stepmohome1</t>
  </si>
  <si>
    <t>stepfahome1</t>
  </si>
  <si>
    <t>fosterhome1</t>
  </si>
  <si>
    <t>elsehome1_2</t>
  </si>
  <si>
    <t>employfa</t>
  </si>
  <si>
    <t>employmo</t>
  </si>
  <si>
    <t>employnotfa</t>
  </si>
  <si>
    <t>employnotmo</t>
  </si>
  <si>
    <t>talkfather</t>
  </si>
  <si>
    <t>talkstepfa</t>
  </si>
  <si>
    <t>talkmother</t>
  </si>
  <si>
    <t>talkstepmo</t>
  </si>
  <si>
    <t>famhelp</t>
  </si>
  <si>
    <t>famsup</t>
  </si>
  <si>
    <t>famtalk</t>
  </si>
  <si>
    <t>famdec</t>
  </si>
  <si>
    <t>MBMI</t>
  </si>
  <si>
    <t>IRFAS</t>
  </si>
  <si>
    <t>IRRELFAS_LMH</t>
  </si>
  <si>
    <t>IOTF4</t>
  </si>
  <si>
    <t>oweight_who</t>
  </si>
  <si>
    <t>Column</t>
  </si>
  <si>
    <t>Category</t>
  </si>
  <si>
    <t>Comments</t>
  </si>
  <si>
    <t>id</t>
  </si>
  <si>
    <t>demographic</t>
  </si>
  <si>
    <t># Name Label Type Format Valid Invalid Question</t>
  </si>
  <si>
    <t>1 HBSC HBSC round discrete numeric-8.0 244097 0 -</t>
  </si>
  <si>
    <t>2 seqno_int Identify each row in cross</t>
  </si>
  <si>
    <t>national files</t>
  </si>
  <si>
    <t>discrete numeric-8.0 244097 0 -</t>
  </si>
  <si>
    <t>3 cluster Identify each class or cluster</t>
  </si>
  <si>
    <t>in cross national files</t>
  </si>
  <si>
    <t>discrete numeric-11.0 244097 0 -</t>
  </si>
  <si>
    <t>4 countryno Country/WHO region discrete numeric-6.0 244097 0 -</t>
  </si>
  <si>
    <t>5 region HBSC region discrete character-6 244097 0 -</t>
  </si>
  <si>
    <t>6 id1 Region/municipality discrete numeric-2.0 244097 0 -</t>
  </si>
  <si>
    <t>7 id2 School discrete numeric-3.0 244097 0 -</t>
  </si>
  <si>
    <t>8 id3 Class discrete numeric-3.0 223290 20807 -</t>
  </si>
  <si>
    <t>9 id4 Pupil no. discrete numeric-4.0 244097 0 -</t>
  </si>
  <si>
    <t>10 weight Weight of dataset discrete numeric-8.2 244097 0 -</t>
  </si>
  <si>
    <t>11 adm Mode of quest. adm. discrete numeric-1.0 244097 0 -</t>
  </si>
  <si>
    <t>12 month Month of data collection discrete numeric-2.0 244079 18 -</t>
  </si>
  <si>
    <t>13 year Year of data collection continuous numeric-4.0 244097 0 -</t>
  </si>
  <si>
    <t>14 age Age discrete numeric-3.1 242581 1516 -</t>
  </si>
  <si>
    <t>15 agecat Age category discrete numeric-1.0 242581 1516 -</t>
  </si>
  <si>
    <t>16 sex Gender discrete numeric-8.0 244097 0 Are you a girl or a boy?</t>
  </si>
  <si>
    <t>17 grade Grade discrete numeric-1.0 179267 64830 What class are you in?</t>
  </si>
  <si>
    <t>18 monthbirth Month of birth discrete numeric-2.0 242991 1106 What month were you born?</t>
  </si>
  <si>
    <t>19 yearbirth Year of birth continuous numeric-4.0 242581 1516 What year were you born?</t>
  </si>
  <si>
    <t>20 fasfamcar Family car discrete numeric-1.0 237902 6195 Does your family own a car, van or</t>
  </si>
  <si>
    <t>truck?</t>
  </si>
  <si>
    <t>21 fasbedroom Own bedroom discrete numeric-1.0 237425 6672 Do you have your own bedroom for</t>
  </si>
  <si>
    <t>yourself?</t>
  </si>
  <si>
    <t>22 fascompu .. No. of computers discrete numeric-1.0 238570 5527 How many computers do your family</t>
  </si>
  <si>
    <t>own (including laptops and tablets,</t>
  </si>
  <si>
    <t>not including game consoles and</t>
  </si>
  <si>
    <t>smartphones)?</t>
  </si>
  <si>
    <t>23 fasbathr .. No. of bathrooms discrete numeric-1.0 233354 10743 How many bathrooms (room with a</t>
  </si>
  <si>
    <t>bath/shower or both) are in your home?</t>
  </si>
  <si>
    <t>24 fasdishw .. Dishwasher in home discrete numeric-1.0 231973 12124 Does your family have a dishwasher at</t>
  </si>
  <si>
    <t>home?</t>
  </si>
  <si>
    <t>25 fasholid .. Family holidays discrete numeric-1.0 236370 7727 How many times did you and your</t>
  </si>
  <si>
    <t>family travel out of [insert country here]</t>
  </si>
  <si>
    <t>for a holiday/vacation last year?</t>
  </si>
  <si>
    <t>26 health Health discrete numeric-1.0 241520 2577 Would you say your health is……?</t>
  </si>
  <si>
    <t>27 lifesat Life satisfaction continuous numeric-2.0 239585 4512</t>
  </si>
  <si>
    <t>28 headache Headache discrete numeric-1.0 239592 4505 Headache</t>
  </si>
  <si>
    <t>29 stomacha .. Stomach ache discrete numeric-1.0 238418 5679 Stomachache</t>
  </si>
  <si>
    <t>30 backache Back ache discrete numeric-1.0 237554 6543 Backache</t>
  </si>
  <si>
    <t>31 feellow Feeling low discrete numeric-1.0 237401 6696 Feeling low</t>
  </si>
  <si>
    <t>32 irritable Irritability or bad temper discrete numeric-1.0 237558 6539 Irritability or bad temper</t>
  </si>
  <si>
    <t>33 nervous Feeling nervous discrete numeric-1.0 237572 6525 Feeling nervous</t>
  </si>
  <si>
    <t>34 sleepdif .. Difficulties in sleeping discrete numeric-1.0 233283 10814 Difficulties in getting to sleep</t>
  </si>
  <si>
    <t>35 dizzy Feeling dizzy discrete numeric-1.0 235531 8566 Feeling dizzy</t>
  </si>
  <si>
    <t>36 thinkbody Think about body discrete numeric-1.0 232440 11657 Do you think your body is……..?</t>
  </si>
  <si>
    <t>37 physact60 Physical activity past 7 days continuous numeric-1.0 237882 6215 Over the past 7 days , on how many</t>
  </si>
  <si>
    <t>days were you physically active for a</t>
  </si>
  <si>
    <t>total of at least 60 minutes per day?</t>
  </si>
  <si>
    <t>Please add up all the time you spent in</t>
  </si>
  <si>
    <t>physical activity each day.</t>
  </si>
  <si>
    <t>38 breakfas .. Breakfast weekdays discrete numeric-1.0 233349 10748 How often do you usually have</t>
  </si>
  <si>
    <t>breakfast (more than a glass of milk</t>
  </si>
  <si>
    <t>or fruit juice)? Please tick one box for</t>
  </si>
  <si>
    <t>weekdays and one box for weekend.</t>
  </si>
  <si>
    <t>39 breakfas .. Breakfast weekends discrete numeric-1.0 226629 17468 How often do you usually have</t>
  </si>
  <si>
    <t>40 fruits_2 Eat fruits discrete numeric-1.0 238803 5294 -</t>
  </si>
  <si>
    <t>41 vegetabl .. Eat vegetables discrete numeric-1.0 238076 6021 -</t>
  </si>
  <si>
    <t>42 sweets_2 Eat sweets discrete numeric-1.0 238093 6004 -</t>
  </si>
  <si>
    <t>43 softdrin .. Drink coke/soft drinks discrete numeric-1.0 238191 5906 -</t>
  </si>
  <si>
    <t>44 fmeal Family meals together discrete numeric-1.0 229359 14738 How often do you and your family</t>
  </si>
  <si>
    <t>usually have meals together?</t>
  </si>
  <si>
    <t>45 toothbr Tooth brushing discrete numeric-1.0 236187 7910 How often do you brush your teeth?</t>
  </si>
  <si>
    <t>46 timeexe Vigorous physical activity</t>
  </si>
  <si>
    <t>frequency</t>
  </si>
  <si>
    <t>discrete numeric-1.0 239298 4799 Outside school hours: how often do</t>
  </si>
  <si>
    <t>you usually exercise in your free time</t>
  </si>
  <si>
    <t>so much that you get out of breath or</t>
  </si>
  <si>
    <t>sweat?</t>
  </si>
  <si>
    <t>47 smokltm Days smoked in lifetime discrete numeric-1.0 222919 21178 In your lifetime</t>
  </si>
  <si>
    <t>48 smok30d_2 Days smoked last 30 days discrete numeric-1.0 223410 20687 In the last 30 days</t>
  </si>
  <si>
    <t>49 alcltm Alcohol use in lifetime discrete numeric-1.0 224346 19751 -</t>
  </si>
  <si>
    <t>50 alc30d_2 Alcohol use last 30 days discrete numeric-1.0 224771 19326 -</t>
  </si>
  <si>
    <t>51 drunkltm Drunkenness lifetime discrete numeric-1.0 224134 19963 -</t>
  </si>
  <si>
    <t>52 drunk30d Drunkenness last 30 days discrete numeric-1.0 223682 20415 -</t>
  </si>
  <si>
    <t>53 cannabis .. Cannabis life time discrete numeric-1.0 101352 142745 -</t>
  </si>
  <si>
    <t>54 cannabis .. Cannabis last 30 days discrete numeric-1.0 99655 144442 -</t>
  </si>
  <si>
    <t>55 bodyweight Weight - Kilo continuous numeric-3.0 202969 41128 How much do you weigh without</t>
  </si>
  <si>
    <t>clothes</t>
  </si>
  <si>
    <t>56 bodyheight Height - Centimetre continuous numeric-3.0 204061 40036 How tall are you without shoes?</t>
  </si>
  <si>
    <t>57 likeschool Liking school discrete numeric-1.0 238988 5109 How do you feel about school at</t>
  </si>
  <si>
    <t>present?</t>
  </si>
  <si>
    <t>58 schoolpr .. Pressured by schoolwork discrete numeric-1.0 238611 5486 How pressured do you feel by the</t>
  </si>
  <si>
    <t>schoolwork you have to do?</t>
  </si>
  <si>
    <t>59 studtoge .. Students enjoy being together discrete numeric-1.0 227746 16351 The students in my class(es) enjoy being</t>
  </si>
  <si>
    <t>together</t>
  </si>
  <si>
    <t>60 studhelp .. Students kind and helpful discrete numeric-1.0 227351 16746 Most of the students in my class(es) are</t>
  </si>
  <si>
    <t>kind and helpful</t>
  </si>
  <si>
    <t>61 studaccept Students accept me discrete numeric-1.0 226653 17444 Other students accept me as I am</t>
  </si>
  <si>
    <t>62 teachera .. Teacher accepts me discrete numeric-1.0 227333 16764 I feel that my teachers accept me as I am</t>
  </si>
  <si>
    <t>63 teacherc .. Teacher cares about me discrete numeric-1.0 225757 18340 I feel that my teachers care about me as</t>
  </si>
  <si>
    <t>a person</t>
  </si>
  <si>
    <t>64 teachert .. Feel trust in teacher discrete numeric-1.0 226258 17839 I feel a lot of trust in my teachers</t>
  </si>
  <si>
    <t>65 bulliedo .. Bullying others discrete numeric-1.0 222518 21579 How often have you taken part in</t>
  </si>
  <si>
    <t>bullying another person(s) at school in</t>
  </si>
  <si>
    <t>the past couple of months?</t>
  </si>
  <si>
    <t>66 beenbull .. Been bullied past months discrete numeric-1.0 227135 16962 How often have you been bullied at</t>
  </si>
  <si>
    <t>school in the past couple of months?</t>
  </si>
  <si>
    <t>67 cbullied .. Cyber bullied others discrete numeric-1.0 229163 14934 In the past couple of months how often</t>
  </si>
  <si>
    <t>have you taken part in cyberbullying</t>
  </si>
  <si>
    <t>(e.g., sent mean instant messages, email</t>
  </si>
  <si>
    <t>or text messages; wall postings; created</t>
  </si>
  <si>
    <t>a website making fun of someone;</t>
  </si>
  <si>
    <t>posted unflattering or inappropriate</t>
  </si>
  <si>
    <t>pictures online without permission or</t>
  </si>
  <si>
    <t>shared them with others)?</t>
  </si>
  <si>
    <t>68 cbeenbul .. Been cyber bullied discrete numeric-1.0 229013 15084 cbeenbullied question details</t>
  </si>
  <si>
    <t>69 fight12m Times physical fight discrete numeric-1.0 235335 8762 During the past 12 months, how many</t>
  </si>
  <si>
    <t>times were you in a physical fight?</t>
  </si>
  <si>
    <t>70 injured12m Times injured discrete numeric-1.0 235123 8974 During the past 12 months, how many</t>
  </si>
  <si>
    <t>times were you injured and had to be</t>
  </si>
  <si>
    <t>treated by a doctor or nurse?</t>
  </si>
  <si>
    <t>71 friendhelp Friends try to help discrete numeric-1.0 234353 9744 My friends really try to help me</t>
  </si>
  <si>
    <t>72 friendco .. Can count on friends discrete numeric-1.0 233723 10374 I can count on my friends when things</t>
  </si>
  <si>
    <t>go wrong</t>
  </si>
  <si>
    <t>73 friendsh .. Friends to share joys with discrete numeric-1.0 233284 10813 I have friends with whom I can share my</t>
  </si>
  <si>
    <t>joys and sorrows</t>
  </si>
  <si>
    <t>74 friendtalk Can talk about problems with</t>
  </si>
  <si>
    <t>friends</t>
  </si>
  <si>
    <t>discrete numeric-1.0 233289 10808 I can talk about my problems with my</t>
  </si>
  <si>
    <t>75 emconlfr .. Onl contact close friends discrete numeric-1.0 217377 26720 -</t>
  </si>
  <si>
    <t>76 emconlfr .. Onl contact larger friend</t>
  </si>
  <si>
    <t>group</t>
  </si>
  <si>
    <t>discrete numeric-1.0 214545 29552 -</t>
  </si>
  <si>
    <t>77 emconlfr .. Onl contact online friends discrete numeric-1.0 215124 28973 -</t>
  </si>
  <si>
    <t>78 emconlfr .. Onl contact other discrete numeric-1.0 215094 29003 -</t>
  </si>
  <si>
    <t>79 emconlpr .. Secrets, more easily online discrete numeric-1.0 203025 41072 On the interne</t>
  </si>
  <si>
    <t>80 emconlpr .. Feelings, more easily online discrete numeric-1.0 202252 41845 On the internet, I talk more easily about</t>
  </si>
  <si>
    <t>my inner feelings than in a face-to-face</t>
  </si>
  <si>
    <t>encounter</t>
  </si>
  <si>
    <t>81 emconlpr .. Concerns, more easily online discrete numeric-1.0 201741 42356 On the internet, I talk more easily about</t>
  </si>
  <si>
    <t>my concerns than in a face-to-face</t>
  </si>
  <si>
    <t>82 emcsocmed1 Social media: Can't think of</t>
  </si>
  <si>
    <t>anything else</t>
  </si>
  <si>
    <t>discrete numeric-1.0 200865 43232 ... regularly found that you can’t think of</t>
  </si>
  <si>
    <t>anything else but the moment that you</t>
  </si>
  <si>
    <t>will be able to use social media again?</t>
  </si>
  <si>
    <t>83 emcsocmed2 Social media: Spend more</t>
  </si>
  <si>
    <t>time</t>
  </si>
  <si>
    <t>discrete numeric-1.0 201179 42918 ... regularly felt dissatisfied because you</t>
  </si>
  <si>
    <t>wanted to spend more time on social</t>
  </si>
  <si>
    <t>media?</t>
  </si>
  <si>
    <t>84 emcsocmed3 Social media: Felt bad discrete numeric-1.0 200829 43268 ... often felt bad when you could not use</t>
  </si>
  <si>
    <t>social media?</t>
  </si>
  <si>
    <t>85 emcsocmed4 Social media: Failed to spend</t>
  </si>
  <si>
    <t>less time</t>
  </si>
  <si>
    <t>discrete numeric-1.0 200410 43687 ... tried to spend less time on social</t>
  </si>
  <si>
    <t>media, but failed?</t>
  </si>
  <si>
    <t>86 emcsocmed5 Social media: Neglected</t>
  </si>
  <si>
    <t>other activities</t>
  </si>
  <si>
    <t>discrete numeric-1.0 200395 43702 ... regularly neglected other activities</t>
  </si>
  <si>
    <t>(e.g. hobbies, sport) because you wanted</t>
  </si>
  <si>
    <t>to use social media?</t>
  </si>
  <si>
    <t>87 emcsocmed6 Social media: Arguments</t>
  </si>
  <si>
    <t>because of use</t>
  </si>
  <si>
    <t>discrete numeric-1.0 200294 43803 ... regularly had arguments with others</t>
  </si>
  <si>
    <t>because of your social media use?</t>
  </si>
  <si>
    <t>88 emcsocmed7 Social media: Lied about</t>
  </si>
  <si>
    <t>amount</t>
  </si>
  <si>
    <t>discrete numeric-1.0 200241 43856 ... regularly lied to your parents or</t>
  </si>
  <si>
    <t>friends about the amount of time you</t>
  </si>
  <si>
    <t>spend on social media?</t>
  </si>
  <si>
    <t>89 emcsocmed8 Social media: Escape from</t>
  </si>
  <si>
    <t>negative feelings</t>
  </si>
  <si>
    <t>discrete numeric-1.0 199960 44137 ... often used social media to escape</t>
  </si>
  <si>
    <t>from negative feelings?</t>
  </si>
  <si>
    <t>90 emcsocmed9 Social media: Conflict with</t>
  </si>
  <si>
    <t>family because of use</t>
  </si>
  <si>
    <t>discrete numeric-1.0 199983 44114 … had serious conflict with your</t>
  </si>
  <si>
    <t>parents, brother(s) or sister(s) because of</t>
  </si>
  <si>
    <t>your social media use?</t>
  </si>
  <si>
    <t>91 hadsex Sexual intercourse discrete numeric-1.0 81111 162986 Have you ever had sexual intercourse</t>
  </si>
  <si>
    <t>(sometimes this is called "making love"</t>
  </si>
  <si>
    <t>having sex or "going all the way” [or</t>
  </si>
  <si>
    <t>other appropriate colloquial terms])?</t>
  </si>
  <si>
    <t>92 agesex Age when first sexual</t>
  </si>
  <si>
    <t>intercourse</t>
  </si>
  <si>
    <t>discrete numeric-1.0 15609 228488 How old were you when you had sexual</t>
  </si>
  <si>
    <t>intercourse for the first time?</t>
  </si>
  <si>
    <t>93 contrace .. Contraceptive-condoms discrete numeric-1.0 16027 228070 The last time you had sexual intercourse,</t>
  </si>
  <si>
    <t>did you or your partner use a condom?</t>
  </si>
  <si>
    <t>94 contrace .. Contraceptive-birth control</t>
  </si>
  <si>
    <t>pills</t>
  </si>
  <si>
    <t>discrete numeric-1.0 15649 228448 The last time you had sexual intercourse,</t>
  </si>
  <si>
    <t>did you or your partner use birth control</t>
  </si>
  <si>
    <t>pills?</t>
  </si>
  <si>
    <t>95 countryb .. Country of birth - ISO 3166 discrete character-6 174979 0 In which country were you born?</t>
  </si>
  <si>
    <t>96 countryb .. Mother's country of birth -</t>
  </si>
  <si>
    <t>ISO 3166</t>
  </si>
  <si>
    <t>discrete character-6 173438 0 In which country was your mother born?</t>
  </si>
  <si>
    <t>97 countryb .. Father's country of birth -</t>
  </si>
  <si>
    <t>discrete character-6 172196 0 In which country was your father born?</t>
  </si>
  <si>
    <t>98 motherho .. Mother in main home discrete numeric-1.0 233862 10235 -</t>
  </si>
  <si>
    <t>99 fatherho .. Father in main home discrete numeric-1.0 233934 10163 -</t>
  </si>
  <si>
    <t>100 stepmoho .. Stepmother in main home discrete numeric-1.0 233648 10449 -</t>
  </si>
  <si>
    <t>101 stepfaho .. Stepfather in main home discrete numeric-1.0 233646 10451 -</t>
  </si>
  <si>
    <t>102 fosterho .. Living in foster/child home discrete numeric-1.0 233159 10938 -</t>
  </si>
  <si>
    <t>103 elsehome .. Living with someone else or</t>
  </si>
  <si>
    <t>somewhere else</t>
  </si>
  <si>
    <t>discrete numeric-1.0 232973 11124 -</t>
  </si>
  <si>
    <t>104 employfa Father job discrete numeric-1.0 220098 23999 Does your father have a job?</t>
  </si>
  <si>
    <t>105 employmo Mother job discrete numeric-1.0 219962 24135 Does your father have a job?</t>
  </si>
  <si>
    <t>106 employno .. Father not job discrete numeric-1.0 19573 224524 If NO , why does your father not have</t>
  </si>
  <si>
    <t>a job? Please tick the box that best</t>
  </si>
  <si>
    <t>describes the situation.</t>
  </si>
  <si>
    <t>107 employno .. Mother not job discrete numeric-1.0 44207 199890 If NO , why does your mother not have</t>
  </si>
  <si>
    <t>108 talkfather Talk to father discrete numeric-1.0 226606 17491 -</t>
  </si>
  <si>
    <t>109 talkstepfa Talk to stepfather discrete numeric-1.0 177072 67025 -</t>
  </si>
  <si>
    <t>110 talkmother Talk to mother discrete numeric-1.0 228576 15521 -</t>
  </si>
  <si>
    <t>111 talkstepmo Talk to stepmother discrete numeric-1.0 175091 69006 -</t>
  </si>
  <si>
    <t>112 famhelp Family tries to help discrete numeric-1.0 225201 18896 My family really tries to help me</t>
  </si>
  <si>
    <t>113 famsup Get emotional help discrete numeric-1.0 224006 20091 I get the emotional help and support I</t>
  </si>
  <si>
    <t>need from my family</t>
  </si>
  <si>
    <t>114 famtalk Talk about problems discrete numeric-1.0 224078 20019 I can talk about my problems with my</t>
  </si>
  <si>
    <t>family</t>
  </si>
  <si>
    <t>115 famdec Help make decisions discrete numeric-1.0 223860 20237 My family is willing to help me make</t>
  </si>
  <si>
    <t>decisions</t>
  </si>
  <si>
    <t>116 MBMI Body Mass Index continuous numeric-8.2 190487 53610 -</t>
  </si>
  <si>
    <t>117 IRFAS Family affluence scale III -</t>
  </si>
  <si>
    <t>continuous</t>
  </si>
  <si>
    <t>discrete numeric-8.2 231498 12599 -</t>
  </si>
  <si>
    <t>118 IRRELFAS .. Relative family affluence</t>
  </si>
  <si>
    <t>categorical</t>
  </si>
  <si>
    <t>119 IOTF4 IOTF 4 classes discrete numeric-8.2 189556 54541 -</t>
  </si>
  <si>
    <t>120 oweight_ .. Classified as overweight or</t>
  </si>
  <si>
    <t>obese by WHO (bmiplus1=1)</t>
  </si>
  <si>
    <t>discrete numeric-8.2 189524 54573 -</t>
  </si>
  <si>
    <t>Copied text to parse</t>
  </si>
  <si>
    <t>Num</t>
  </si>
  <si>
    <t>VarName</t>
  </si>
  <si>
    <t>VarDescription</t>
  </si>
  <si>
    <t>2018, constant</t>
  </si>
  <si>
    <t>Identify each row in cross national files</t>
  </si>
  <si>
    <t>Identify each class or cluster in cross national files</t>
  </si>
  <si>
    <t>profiling</t>
  </si>
  <si>
    <t xml:space="preserve">like country </t>
  </si>
  <si>
    <t>Region/municipality, coded</t>
  </si>
  <si>
    <t>School</t>
  </si>
  <si>
    <t>Class</t>
  </si>
  <si>
    <t>pupil no.</t>
  </si>
  <si>
    <t>Weight of dataset</t>
  </si>
  <si>
    <t>other</t>
  </si>
  <si>
    <t>Mode of admin pen or pc</t>
  </si>
  <si>
    <t>Month data collection</t>
  </si>
  <si>
    <t>year data collection</t>
  </si>
  <si>
    <t>student age</t>
  </si>
  <si>
    <t>student age group</t>
  </si>
  <si>
    <t>student gender</t>
  </si>
  <si>
    <t>student grade</t>
  </si>
  <si>
    <t>month of birth</t>
  </si>
  <si>
    <t>year of birth</t>
  </si>
  <si>
    <t># family cars</t>
  </si>
  <si>
    <t>own bedroom</t>
  </si>
  <si>
    <t># computers</t>
  </si>
  <si>
    <t># bathrooms</t>
  </si>
  <si>
    <t>home info</t>
  </si>
  <si>
    <t># dishwashers</t>
  </si>
  <si>
    <t># family holidays</t>
  </si>
  <si>
    <t># back ache</t>
  </si>
  <si>
    <t>health physical</t>
  </si>
  <si>
    <t>health mental</t>
  </si>
  <si>
    <t>health rating</t>
  </si>
  <si>
    <t>life satisfaction rating</t>
  </si>
  <si>
    <t># headaches</t>
  </si>
  <si>
    <t># smotach ache</t>
  </si>
  <si>
    <t>Feeling low</t>
  </si>
  <si>
    <t>Feeling nervous</t>
  </si>
  <si>
    <t>Feeling dizzy</t>
  </si>
  <si>
    <t>Bad temper</t>
  </si>
  <si>
    <t>Difficulty sleeping</t>
  </si>
  <si>
    <t>Self body perception</t>
  </si>
  <si>
    <t>Physical activity past 7 days</t>
  </si>
  <si>
    <t># days breakfast weekdays</t>
  </si>
  <si>
    <t xml:space="preserve"># days breakfast weekend </t>
  </si>
  <si>
    <t>habits</t>
  </si>
  <si>
    <t># days eat fruit</t>
  </si>
  <si>
    <t># days eat vegs</t>
  </si>
  <si>
    <t># days eat sweets</t>
  </si>
  <si>
    <t># days drink soft drinks</t>
  </si>
  <si>
    <t>family meals together</t>
  </si>
  <si>
    <t>tooth brushes # days</t>
  </si>
  <si>
    <t># times vigorous exercise</t>
  </si>
  <si>
    <t>vicios</t>
  </si>
  <si>
    <t># days smoke lifetime</t>
  </si>
  <si>
    <t># days smoke month</t>
  </si>
  <si>
    <t># days drank ltd</t>
  </si>
  <si>
    <t># days drank month</t>
  </si>
  <si>
    <t># days drunk ld</t>
  </si>
  <si>
    <t># days drunk month</t>
  </si>
  <si>
    <t xml:space="preserve"># days cannabis </t>
  </si>
  <si>
    <t># days cannabismonth</t>
  </si>
  <si>
    <t>peso kg</t>
  </si>
  <si>
    <t>altura cms</t>
  </si>
  <si>
    <t>school life</t>
  </si>
  <si>
    <t>do you like school</t>
  </si>
  <si>
    <t>pressured by school</t>
  </si>
  <si>
    <t>Students enjoy being together</t>
  </si>
  <si>
    <t>Students kind and helpful</t>
  </si>
  <si>
    <t>Students accept me</t>
  </si>
  <si>
    <t>Teacher accepts me</t>
  </si>
  <si>
    <t>Cyber bullied others</t>
  </si>
  <si>
    <t>Been cyber bullied</t>
  </si>
  <si>
    <t>Times injured</t>
  </si>
  <si>
    <t>Onl contact other</t>
  </si>
  <si>
    <t>Teacher cares about me</t>
  </si>
  <si>
    <t>Feel trust in teacher</t>
  </si>
  <si>
    <t>Bullying others</t>
  </si>
  <si>
    <t>Been bullied past month</t>
  </si>
  <si>
    <t>bullying</t>
  </si>
  <si>
    <t>Times physical fight</t>
  </si>
  <si>
    <t>Friends try to help you</t>
  </si>
  <si>
    <t>Can count on friends</t>
  </si>
  <si>
    <t>Onl contact close friends</t>
  </si>
  <si>
    <t>Onl contact online friends</t>
  </si>
  <si>
    <t xml:space="preserve">Friends to share joy </t>
  </si>
  <si>
    <t>Can talk about problems with friends</t>
  </si>
  <si>
    <t>Friendship real</t>
  </si>
  <si>
    <t>Friendship online</t>
  </si>
  <si>
    <t>Onl contact larger friend group</t>
  </si>
  <si>
    <t>Easier to share secrets online</t>
  </si>
  <si>
    <t>Easier to share feelings online</t>
  </si>
  <si>
    <t>Easider to share concerns online</t>
  </si>
  <si>
    <t>Social media: Can't think of anything else</t>
  </si>
  <si>
    <t>... regularly felt dissatisfied because you wanted to spend more time on social media?</t>
  </si>
  <si>
    <t>Social media use</t>
  </si>
  <si>
    <t>Literal question ... often felt bad when you could not use social media?</t>
  </si>
  <si>
    <t>... tried to spend less time on social media, but failed?</t>
  </si>
  <si>
    <t>... regularly neglected other activities (e.g. hobbies, sport) because you wanted to use social media?</t>
  </si>
  <si>
    <t>... regularly had arguments with others because of your social media use?</t>
  </si>
  <si>
    <t>... regularly lied to your parents or friends about the amount of time you spend on social media?</t>
  </si>
  <si>
    <t>... often used social media to escape from negative feelings?</t>
  </si>
  <si>
    <t>… had serious conflict with your parents, brother(s) or sister(s) because of your social media use?</t>
  </si>
  <si>
    <t>have you had sex</t>
  </si>
  <si>
    <t>age when first had sex</t>
  </si>
  <si>
    <t>used Contraceptive-condoms</t>
  </si>
  <si>
    <t>used Contraceptive-birth control pills</t>
  </si>
  <si>
    <t>In which country were you born?</t>
  </si>
  <si>
    <t>Mother's country of birth</t>
  </si>
  <si>
    <t>Father's country of birth - ISO 3166</t>
  </si>
  <si>
    <t>is Mother in main home</t>
  </si>
  <si>
    <t>is Father in main home</t>
  </si>
  <si>
    <t>is Stepmother in main home</t>
  </si>
  <si>
    <t>is Stepfather in main home</t>
  </si>
  <si>
    <t>is  Living in foster/child home</t>
  </si>
  <si>
    <t>is Living with someone else or somewhere else</t>
  </si>
  <si>
    <t>is Father job</t>
  </si>
  <si>
    <t>is mother job</t>
  </si>
  <si>
    <t>If NO , why does your father not have a job?</t>
  </si>
  <si>
    <t>If NO , why does your mother not have a job?</t>
  </si>
  <si>
    <t>father, How easy is it for you to talk to the following persons about things that really bother you?</t>
  </si>
  <si>
    <t>stepfather, How easy is it for you to talk to the following persons about things that really bother you?</t>
  </si>
  <si>
    <t>mother, How easy is it for you to talk to the following persons about things that really bother you?</t>
  </si>
  <si>
    <t>stepmother, How easy is it for you to talk to the following persons about things that really bother you?</t>
  </si>
  <si>
    <t>family info</t>
  </si>
  <si>
    <t>family support</t>
  </si>
  <si>
    <t>my family tries to help me</t>
  </si>
  <si>
    <t>my family supports me emotinally</t>
  </si>
  <si>
    <t>I can talk about my problems with my family</t>
  </si>
  <si>
    <t>my familly supports me in decisions</t>
  </si>
  <si>
    <t>Body Mass Index</t>
  </si>
  <si>
    <t>Family affluence scale III - continuous</t>
  </si>
  <si>
    <t>Relative family affluence categorical</t>
  </si>
  <si>
    <t>BMI GROUP USING COLE ET AL METHOD 2002</t>
  </si>
  <si>
    <t>is overweight</t>
  </si>
  <si>
    <t>student info</t>
  </si>
  <si>
    <t>country code/name</t>
  </si>
  <si>
    <t>WalterCategory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</si>
</sst>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2" fontId="16" fillId="0" borderId="0" xfId="0" applyNumberFormat="1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2" fontId="0" fillId="47" borderId="0" xfId="0" applyNumberFormat="1" applyFill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FCD6-A392-4885-A4AF-8ABFEB054816}">
  <dimension ref="A1:E12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3.5703125" customWidth="1"/>
    <col min="2" max="2" width="7.5703125" style="1" bestFit="1" customWidth="1"/>
    <col min="3" max="3" width="14.42578125" bestFit="1" customWidth="1"/>
    <col min="4" max="4" width="26.140625" customWidth="1"/>
    <col min="5" max="5" width="103" customWidth="1"/>
  </cols>
  <sheetData>
    <row r="1" spans="1:5" s="4" customFormat="1" x14ac:dyDescent="0.25">
      <c r="A1" s="4" t="s">
        <v>356</v>
      </c>
      <c r="B1" s="5" t="s">
        <v>357</v>
      </c>
      <c r="C1" s="4" t="s">
        <v>358</v>
      </c>
      <c r="D1" s="4" t="s">
        <v>495</v>
      </c>
      <c r="E1" s="4" t="s">
        <v>359</v>
      </c>
    </row>
    <row r="2" spans="1:5" x14ac:dyDescent="0.25">
      <c r="A2" t="s">
        <v>222</v>
      </c>
      <c r="B2" s="2">
        <f t="shared" ref="B2:B33" si="0">INT(_xlfn.TEXTBEFORE(A2, " "))</f>
        <v>65</v>
      </c>
      <c r="C2" t="str">
        <f t="shared" ref="C2:C33" si="1">_xlfn.TEXTBEFORE(_xlfn.TEXTAFTER(A2, " "), " ")</f>
        <v>bulliedo</v>
      </c>
      <c r="D2" s="6" t="s">
        <v>437</v>
      </c>
      <c r="E2" t="s">
        <v>435</v>
      </c>
    </row>
    <row r="3" spans="1:5" x14ac:dyDescent="0.25">
      <c r="A3" t="s">
        <v>225</v>
      </c>
      <c r="B3" s="2">
        <f t="shared" si="0"/>
        <v>66</v>
      </c>
      <c r="C3" t="str">
        <f t="shared" si="1"/>
        <v>beenbull</v>
      </c>
      <c r="D3" s="6" t="s">
        <v>437</v>
      </c>
      <c r="E3" t="s">
        <v>436</v>
      </c>
    </row>
    <row r="4" spans="1:5" x14ac:dyDescent="0.25">
      <c r="A4" t="s">
        <v>227</v>
      </c>
      <c r="B4" s="2">
        <f t="shared" si="0"/>
        <v>67</v>
      </c>
      <c r="C4" t="str">
        <f t="shared" si="1"/>
        <v>cbullied</v>
      </c>
      <c r="D4" s="6" t="s">
        <v>437</v>
      </c>
      <c r="E4" t="s">
        <v>429</v>
      </c>
    </row>
    <row r="5" spans="1:5" x14ac:dyDescent="0.25">
      <c r="A5" t="s">
        <v>235</v>
      </c>
      <c r="B5" s="2">
        <f t="shared" si="0"/>
        <v>68</v>
      </c>
      <c r="C5" t="str">
        <f t="shared" si="1"/>
        <v>cbeenbul</v>
      </c>
      <c r="D5" s="6" t="s">
        <v>437</v>
      </c>
      <c r="E5" t="s">
        <v>430</v>
      </c>
    </row>
    <row r="6" spans="1:5" x14ac:dyDescent="0.25">
      <c r="A6" t="s">
        <v>236</v>
      </c>
      <c r="B6" s="2">
        <f t="shared" si="0"/>
        <v>69</v>
      </c>
      <c r="C6" t="str">
        <f t="shared" si="1"/>
        <v>fight12m</v>
      </c>
      <c r="D6" s="6" t="s">
        <v>437</v>
      </c>
      <c r="E6" t="s">
        <v>438</v>
      </c>
    </row>
    <row r="7" spans="1:5" x14ac:dyDescent="0.25">
      <c r="A7" t="s">
        <v>321</v>
      </c>
      <c r="B7" s="2">
        <f t="shared" si="0"/>
        <v>98</v>
      </c>
      <c r="C7" t="str">
        <f t="shared" si="1"/>
        <v>motherho</v>
      </c>
      <c r="D7" s="10" t="s">
        <v>482</v>
      </c>
      <c r="E7" t="s">
        <v>468</v>
      </c>
    </row>
    <row r="8" spans="1:5" x14ac:dyDescent="0.25">
      <c r="A8" t="s">
        <v>322</v>
      </c>
      <c r="B8" s="2">
        <f t="shared" si="0"/>
        <v>99</v>
      </c>
      <c r="C8" t="str">
        <f t="shared" si="1"/>
        <v>fatherho</v>
      </c>
      <c r="D8" s="10" t="s">
        <v>482</v>
      </c>
      <c r="E8" t="s">
        <v>469</v>
      </c>
    </row>
    <row r="9" spans="1:5" x14ac:dyDescent="0.25">
      <c r="A9" t="s">
        <v>323</v>
      </c>
      <c r="B9" s="2">
        <f t="shared" si="0"/>
        <v>100</v>
      </c>
      <c r="C9" t="str">
        <f t="shared" si="1"/>
        <v>stepmoho</v>
      </c>
      <c r="D9" s="10" t="s">
        <v>482</v>
      </c>
      <c r="E9" t="s">
        <v>470</v>
      </c>
    </row>
    <row r="10" spans="1:5" x14ac:dyDescent="0.25">
      <c r="A10" t="s">
        <v>324</v>
      </c>
      <c r="B10" s="2">
        <f t="shared" si="0"/>
        <v>101</v>
      </c>
      <c r="C10" t="str">
        <f t="shared" si="1"/>
        <v>stepfaho</v>
      </c>
      <c r="D10" s="10" t="s">
        <v>482</v>
      </c>
      <c r="E10" t="s">
        <v>471</v>
      </c>
    </row>
    <row r="11" spans="1:5" x14ac:dyDescent="0.25">
      <c r="A11" t="s">
        <v>325</v>
      </c>
      <c r="B11" s="2">
        <f t="shared" si="0"/>
        <v>102</v>
      </c>
      <c r="C11" t="str">
        <f t="shared" si="1"/>
        <v>fosterho</v>
      </c>
      <c r="D11" s="10" t="s">
        <v>482</v>
      </c>
      <c r="E11" t="s">
        <v>472</v>
      </c>
    </row>
    <row r="12" spans="1:5" x14ac:dyDescent="0.25">
      <c r="A12" t="s">
        <v>326</v>
      </c>
      <c r="B12" s="2">
        <f t="shared" si="0"/>
        <v>103</v>
      </c>
      <c r="C12" t="str">
        <f t="shared" si="1"/>
        <v>elsehome</v>
      </c>
      <c r="D12" s="10" t="s">
        <v>482</v>
      </c>
      <c r="E12" t="s">
        <v>473</v>
      </c>
    </row>
    <row r="13" spans="1:5" x14ac:dyDescent="0.25">
      <c r="A13" t="s">
        <v>329</v>
      </c>
      <c r="B13" s="2">
        <f t="shared" si="0"/>
        <v>104</v>
      </c>
      <c r="C13" t="str">
        <f t="shared" si="1"/>
        <v>employfa</v>
      </c>
      <c r="D13" s="10" t="s">
        <v>482</v>
      </c>
      <c r="E13" t="s">
        <v>474</v>
      </c>
    </row>
    <row r="14" spans="1:5" x14ac:dyDescent="0.25">
      <c r="A14" t="s">
        <v>330</v>
      </c>
      <c r="B14" s="2">
        <f t="shared" si="0"/>
        <v>105</v>
      </c>
      <c r="C14" t="str">
        <f t="shared" si="1"/>
        <v>employmo</v>
      </c>
      <c r="D14" s="10" t="s">
        <v>482</v>
      </c>
      <c r="E14" t="s">
        <v>475</v>
      </c>
    </row>
    <row r="15" spans="1:5" x14ac:dyDescent="0.25">
      <c r="A15" t="s">
        <v>331</v>
      </c>
      <c r="B15" s="2">
        <f t="shared" si="0"/>
        <v>106</v>
      </c>
      <c r="C15" t="str">
        <f t="shared" si="1"/>
        <v>employno</v>
      </c>
      <c r="D15" s="10" t="s">
        <v>482</v>
      </c>
      <c r="E15" t="s">
        <v>476</v>
      </c>
    </row>
    <row r="16" spans="1:5" x14ac:dyDescent="0.25">
      <c r="A16" t="s">
        <v>334</v>
      </c>
      <c r="B16" s="2">
        <f t="shared" si="0"/>
        <v>107</v>
      </c>
      <c r="C16" t="str">
        <f t="shared" si="1"/>
        <v>employno</v>
      </c>
      <c r="D16" s="10" t="s">
        <v>482</v>
      </c>
      <c r="E16" t="s">
        <v>477</v>
      </c>
    </row>
    <row r="17" spans="1:5" x14ac:dyDescent="0.25">
      <c r="A17" t="s">
        <v>347</v>
      </c>
      <c r="B17" s="2">
        <f t="shared" si="0"/>
        <v>117</v>
      </c>
      <c r="C17" t="str">
        <f t="shared" si="1"/>
        <v>IRFAS</v>
      </c>
      <c r="D17" s="10" t="s">
        <v>482</v>
      </c>
      <c r="E17" t="s">
        <v>489</v>
      </c>
    </row>
    <row r="18" spans="1:5" x14ac:dyDescent="0.25">
      <c r="A18" t="s">
        <v>350</v>
      </c>
      <c r="B18" s="2">
        <f t="shared" si="0"/>
        <v>118</v>
      </c>
      <c r="C18" t="str">
        <f t="shared" si="1"/>
        <v>IRRELFAS</v>
      </c>
      <c r="D18" s="10" t="s">
        <v>482</v>
      </c>
      <c r="E18" t="s">
        <v>490</v>
      </c>
    </row>
    <row r="19" spans="1:5" x14ac:dyDescent="0.25">
      <c r="A19" t="s">
        <v>335</v>
      </c>
      <c r="B19" s="2">
        <f t="shared" si="0"/>
        <v>108</v>
      </c>
      <c r="C19" t="str">
        <f t="shared" si="1"/>
        <v>talkfather</v>
      </c>
      <c r="D19" s="11" t="s">
        <v>483</v>
      </c>
      <c r="E19" t="s">
        <v>478</v>
      </c>
    </row>
    <row r="20" spans="1:5" x14ac:dyDescent="0.25">
      <c r="A20" t="s">
        <v>336</v>
      </c>
      <c r="B20" s="2">
        <f t="shared" si="0"/>
        <v>109</v>
      </c>
      <c r="C20" t="str">
        <f t="shared" si="1"/>
        <v>talkstepfa</v>
      </c>
      <c r="D20" s="11" t="s">
        <v>483</v>
      </c>
      <c r="E20" s="3" t="s">
        <v>479</v>
      </c>
    </row>
    <row r="21" spans="1:5" x14ac:dyDescent="0.25">
      <c r="A21" t="s">
        <v>337</v>
      </c>
      <c r="B21" s="2">
        <f t="shared" si="0"/>
        <v>110</v>
      </c>
      <c r="C21" t="str">
        <f t="shared" si="1"/>
        <v>talkmother</v>
      </c>
      <c r="D21" s="11" t="s">
        <v>483</v>
      </c>
      <c r="E21" s="3" t="s">
        <v>480</v>
      </c>
    </row>
    <row r="22" spans="1:5" x14ac:dyDescent="0.25">
      <c r="A22" t="s">
        <v>338</v>
      </c>
      <c r="B22" s="2">
        <f t="shared" si="0"/>
        <v>111</v>
      </c>
      <c r="C22" t="str">
        <f t="shared" si="1"/>
        <v>talkstepmo</v>
      </c>
      <c r="D22" s="11" t="s">
        <v>483</v>
      </c>
      <c r="E22" s="3" t="s">
        <v>481</v>
      </c>
    </row>
    <row r="23" spans="1:5" x14ac:dyDescent="0.25">
      <c r="A23" t="s">
        <v>339</v>
      </c>
      <c r="B23" s="2">
        <f t="shared" si="0"/>
        <v>112</v>
      </c>
      <c r="C23" t="str">
        <f t="shared" si="1"/>
        <v>famhelp</v>
      </c>
      <c r="D23" s="11" t="s">
        <v>483</v>
      </c>
      <c r="E23" s="3" t="s">
        <v>484</v>
      </c>
    </row>
    <row r="24" spans="1:5" x14ac:dyDescent="0.25">
      <c r="A24" t="s">
        <v>340</v>
      </c>
      <c r="B24" s="2">
        <f t="shared" si="0"/>
        <v>113</v>
      </c>
      <c r="C24" t="str">
        <f t="shared" si="1"/>
        <v>famsup</v>
      </c>
      <c r="D24" s="11" t="s">
        <v>483</v>
      </c>
      <c r="E24" s="3" t="s">
        <v>485</v>
      </c>
    </row>
    <row r="25" spans="1:5" x14ac:dyDescent="0.25">
      <c r="A25" t="s">
        <v>342</v>
      </c>
      <c r="B25" s="2">
        <f t="shared" si="0"/>
        <v>114</v>
      </c>
      <c r="C25" t="str">
        <f t="shared" si="1"/>
        <v>famtalk</v>
      </c>
      <c r="D25" s="11" t="s">
        <v>483</v>
      </c>
      <c r="E25" s="3" t="s">
        <v>486</v>
      </c>
    </row>
    <row r="26" spans="1:5" x14ac:dyDescent="0.25">
      <c r="A26" t="s">
        <v>344</v>
      </c>
      <c r="B26" s="2">
        <f t="shared" si="0"/>
        <v>115</v>
      </c>
      <c r="C26" t="str">
        <f t="shared" si="1"/>
        <v>famdec</v>
      </c>
      <c r="D26" s="11" t="s">
        <v>483</v>
      </c>
      <c r="E26" s="3" t="s">
        <v>487</v>
      </c>
    </row>
    <row r="27" spans="1:5" x14ac:dyDescent="0.25">
      <c r="A27" t="s">
        <v>249</v>
      </c>
      <c r="B27" s="2">
        <f t="shared" si="0"/>
        <v>75</v>
      </c>
      <c r="C27" t="str">
        <f t="shared" si="1"/>
        <v>emconlfr</v>
      </c>
      <c r="D27" s="12" t="s">
        <v>446</v>
      </c>
      <c r="E27" t="s">
        <v>441</v>
      </c>
    </row>
    <row r="28" spans="1:5" x14ac:dyDescent="0.25">
      <c r="A28" t="s">
        <v>250</v>
      </c>
      <c r="B28" s="2">
        <f t="shared" si="0"/>
        <v>76</v>
      </c>
      <c r="C28" t="str">
        <f t="shared" si="1"/>
        <v>emconlfr</v>
      </c>
      <c r="D28" s="12" t="s">
        <v>446</v>
      </c>
      <c r="E28" t="s">
        <v>447</v>
      </c>
    </row>
    <row r="29" spans="1:5" x14ac:dyDescent="0.25">
      <c r="A29" t="s">
        <v>253</v>
      </c>
      <c r="B29" s="2">
        <f t="shared" si="0"/>
        <v>77</v>
      </c>
      <c r="C29" t="str">
        <f t="shared" si="1"/>
        <v>emconlfr</v>
      </c>
      <c r="D29" s="12" t="s">
        <v>446</v>
      </c>
      <c r="E29" t="s">
        <v>442</v>
      </c>
    </row>
    <row r="30" spans="1:5" x14ac:dyDescent="0.25">
      <c r="A30" t="s">
        <v>254</v>
      </c>
      <c r="B30" s="2">
        <f t="shared" si="0"/>
        <v>78</v>
      </c>
      <c r="C30" t="str">
        <f t="shared" si="1"/>
        <v>emconlfr</v>
      </c>
      <c r="D30" s="12" t="s">
        <v>446</v>
      </c>
      <c r="E30" t="s">
        <v>432</v>
      </c>
    </row>
    <row r="31" spans="1:5" x14ac:dyDescent="0.25">
      <c r="A31" t="s">
        <v>255</v>
      </c>
      <c r="B31" s="2">
        <f t="shared" si="0"/>
        <v>79</v>
      </c>
      <c r="C31" t="str">
        <f t="shared" si="1"/>
        <v>emconlpr</v>
      </c>
      <c r="D31" s="12" t="s">
        <v>446</v>
      </c>
      <c r="E31" t="s">
        <v>448</v>
      </c>
    </row>
    <row r="32" spans="1:5" x14ac:dyDescent="0.25">
      <c r="A32" t="s">
        <v>256</v>
      </c>
      <c r="B32" s="2">
        <f t="shared" si="0"/>
        <v>80</v>
      </c>
      <c r="C32" t="str">
        <f t="shared" si="1"/>
        <v>emconlpr</v>
      </c>
      <c r="D32" s="12" t="s">
        <v>446</v>
      </c>
      <c r="E32" t="s">
        <v>449</v>
      </c>
    </row>
    <row r="33" spans="1:5" x14ac:dyDescent="0.25">
      <c r="A33" t="s">
        <v>259</v>
      </c>
      <c r="B33" s="2">
        <f t="shared" si="0"/>
        <v>81</v>
      </c>
      <c r="C33" t="str">
        <f t="shared" si="1"/>
        <v>emconlpr</v>
      </c>
      <c r="D33" s="12" t="s">
        <v>446</v>
      </c>
      <c r="E33" t="s">
        <v>450</v>
      </c>
    </row>
    <row r="34" spans="1:5" x14ac:dyDescent="0.25">
      <c r="A34" t="s">
        <v>241</v>
      </c>
      <c r="B34" s="2">
        <f t="shared" ref="B34:B65" si="2">INT(_xlfn.TEXTBEFORE(A34, " "))</f>
        <v>71</v>
      </c>
      <c r="C34" t="str">
        <f t="shared" ref="C34:C65" si="3">_xlfn.TEXTBEFORE(_xlfn.TEXTAFTER(A34, " "), " ")</f>
        <v>friendhelp</v>
      </c>
      <c r="D34" s="8" t="s">
        <v>445</v>
      </c>
      <c r="E34" t="s">
        <v>439</v>
      </c>
    </row>
    <row r="35" spans="1:5" x14ac:dyDescent="0.25">
      <c r="A35" t="s">
        <v>242</v>
      </c>
      <c r="B35" s="2">
        <f t="shared" si="2"/>
        <v>72</v>
      </c>
      <c r="C35" t="str">
        <f t="shared" si="3"/>
        <v>friendco</v>
      </c>
      <c r="D35" s="8" t="s">
        <v>445</v>
      </c>
      <c r="E35" t="s">
        <v>440</v>
      </c>
    </row>
    <row r="36" spans="1:5" x14ac:dyDescent="0.25">
      <c r="A36" t="s">
        <v>244</v>
      </c>
      <c r="B36" s="2">
        <f t="shared" si="2"/>
        <v>73</v>
      </c>
      <c r="C36" t="str">
        <f t="shared" si="3"/>
        <v>friendsh</v>
      </c>
      <c r="D36" s="8" t="s">
        <v>445</v>
      </c>
      <c r="E36" t="s">
        <v>443</v>
      </c>
    </row>
    <row r="37" spans="1:5" x14ac:dyDescent="0.25">
      <c r="A37" t="s">
        <v>246</v>
      </c>
      <c r="B37" s="2">
        <f t="shared" si="2"/>
        <v>74</v>
      </c>
      <c r="C37" t="str">
        <f t="shared" si="3"/>
        <v>friendtalk</v>
      </c>
      <c r="D37" s="8" t="s">
        <v>445</v>
      </c>
      <c r="E37" t="s">
        <v>444</v>
      </c>
    </row>
    <row r="38" spans="1:5" x14ac:dyDescent="0.25">
      <c r="A38" t="s">
        <v>175</v>
      </c>
      <c r="B38" s="2">
        <f t="shared" si="2"/>
        <v>37</v>
      </c>
      <c r="C38" t="str">
        <f t="shared" si="3"/>
        <v>physact60</v>
      </c>
      <c r="D38" s="13" t="s">
        <v>403</v>
      </c>
      <c r="E38" t="s">
        <v>400</v>
      </c>
    </row>
    <row r="39" spans="1:5" x14ac:dyDescent="0.25">
      <c r="A39" t="s">
        <v>180</v>
      </c>
      <c r="B39" s="2">
        <f t="shared" si="2"/>
        <v>38</v>
      </c>
      <c r="C39" t="str">
        <f t="shared" si="3"/>
        <v>breakfas</v>
      </c>
      <c r="D39" s="13" t="s">
        <v>403</v>
      </c>
      <c r="E39" t="s">
        <v>401</v>
      </c>
    </row>
    <row r="40" spans="1:5" x14ac:dyDescent="0.25">
      <c r="A40" t="s">
        <v>184</v>
      </c>
      <c r="B40" s="2">
        <f t="shared" si="2"/>
        <v>39</v>
      </c>
      <c r="C40" t="str">
        <f t="shared" si="3"/>
        <v>breakfas</v>
      </c>
      <c r="D40" s="13" t="s">
        <v>403</v>
      </c>
      <c r="E40" t="s">
        <v>402</v>
      </c>
    </row>
    <row r="41" spans="1:5" x14ac:dyDescent="0.25">
      <c r="A41" t="s">
        <v>185</v>
      </c>
      <c r="B41" s="2">
        <f t="shared" si="2"/>
        <v>40</v>
      </c>
      <c r="C41" t="str">
        <f t="shared" si="3"/>
        <v>fruits_2</v>
      </c>
      <c r="D41" s="13" t="s">
        <v>403</v>
      </c>
      <c r="E41" t="s">
        <v>404</v>
      </c>
    </row>
    <row r="42" spans="1:5" x14ac:dyDescent="0.25">
      <c r="A42" t="s">
        <v>186</v>
      </c>
      <c r="B42" s="2">
        <f t="shared" si="2"/>
        <v>41</v>
      </c>
      <c r="C42" t="str">
        <f t="shared" si="3"/>
        <v>vegetabl</v>
      </c>
      <c r="D42" s="13" t="s">
        <v>403</v>
      </c>
      <c r="E42" t="s">
        <v>405</v>
      </c>
    </row>
    <row r="43" spans="1:5" x14ac:dyDescent="0.25">
      <c r="A43" t="s">
        <v>187</v>
      </c>
      <c r="B43" s="2">
        <f t="shared" si="2"/>
        <v>42</v>
      </c>
      <c r="C43" t="str">
        <f t="shared" si="3"/>
        <v>sweets_2</v>
      </c>
      <c r="D43" s="13" t="s">
        <v>403</v>
      </c>
      <c r="E43" t="s">
        <v>406</v>
      </c>
    </row>
    <row r="44" spans="1:5" x14ac:dyDescent="0.25">
      <c r="A44" t="s">
        <v>188</v>
      </c>
      <c r="B44" s="2">
        <f t="shared" si="2"/>
        <v>43</v>
      </c>
      <c r="C44" t="str">
        <f t="shared" si="3"/>
        <v>softdrin</v>
      </c>
      <c r="D44" s="13" t="s">
        <v>403</v>
      </c>
      <c r="E44" t="s">
        <v>407</v>
      </c>
    </row>
    <row r="45" spans="1:5" x14ac:dyDescent="0.25">
      <c r="A45" t="s">
        <v>191</v>
      </c>
      <c r="B45" s="2">
        <f t="shared" si="2"/>
        <v>45</v>
      </c>
      <c r="C45" t="str">
        <f t="shared" si="3"/>
        <v>toothbr</v>
      </c>
      <c r="D45" s="13" t="s">
        <v>403</v>
      </c>
      <c r="E45" t="s">
        <v>409</v>
      </c>
    </row>
    <row r="46" spans="1:5" x14ac:dyDescent="0.25">
      <c r="A46" t="s">
        <v>192</v>
      </c>
      <c r="B46" s="2">
        <f t="shared" si="2"/>
        <v>46</v>
      </c>
      <c r="C46" t="str">
        <f t="shared" si="3"/>
        <v>timeexe</v>
      </c>
      <c r="D46" s="13" t="s">
        <v>403</v>
      </c>
      <c r="E46" t="s">
        <v>410</v>
      </c>
    </row>
    <row r="47" spans="1:5" x14ac:dyDescent="0.25">
      <c r="A47" t="s">
        <v>165</v>
      </c>
      <c r="B47" s="2">
        <f t="shared" si="2"/>
        <v>27</v>
      </c>
      <c r="C47" t="str">
        <f t="shared" si="3"/>
        <v>lifesat</v>
      </c>
      <c r="D47" s="9" t="s">
        <v>389</v>
      </c>
      <c r="E47" t="s">
        <v>391</v>
      </c>
    </row>
    <row r="48" spans="1:5" x14ac:dyDescent="0.25">
      <c r="A48" t="s">
        <v>169</v>
      </c>
      <c r="B48" s="2">
        <f t="shared" si="2"/>
        <v>31</v>
      </c>
      <c r="C48" t="str">
        <f t="shared" si="3"/>
        <v>feellow</v>
      </c>
      <c r="D48" s="9" t="s">
        <v>389</v>
      </c>
      <c r="E48" t="s">
        <v>394</v>
      </c>
    </row>
    <row r="49" spans="1:5" x14ac:dyDescent="0.25">
      <c r="A49" t="s">
        <v>170</v>
      </c>
      <c r="B49" s="2">
        <f t="shared" si="2"/>
        <v>32</v>
      </c>
      <c r="C49" t="str">
        <f t="shared" si="3"/>
        <v>irritable</v>
      </c>
      <c r="D49" s="9" t="s">
        <v>389</v>
      </c>
      <c r="E49" t="s">
        <v>397</v>
      </c>
    </row>
    <row r="50" spans="1:5" x14ac:dyDescent="0.25">
      <c r="A50" t="s">
        <v>171</v>
      </c>
      <c r="B50" s="2">
        <f t="shared" si="2"/>
        <v>33</v>
      </c>
      <c r="C50" t="str">
        <f t="shared" si="3"/>
        <v>nervous</v>
      </c>
      <c r="D50" s="9" t="s">
        <v>389</v>
      </c>
      <c r="E50" t="s">
        <v>395</v>
      </c>
    </row>
    <row r="51" spans="1:5" x14ac:dyDescent="0.25">
      <c r="A51" t="s">
        <v>172</v>
      </c>
      <c r="B51" s="2">
        <f t="shared" si="2"/>
        <v>34</v>
      </c>
      <c r="C51" t="str">
        <f t="shared" si="3"/>
        <v>sleepdif</v>
      </c>
      <c r="D51" s="9" t="s">
        <v>389</v>
      </c>
      <c r="E51" t="s">
        <v>398</v>
      </c>
    </row>
    <row r="52" spans="1:5" x14ac:dyDescent="0.25">
      <c r="A52" t="s">
        <v>173</v>
      </c>
      <c r="B52" s="2">
        <f t="shared" si="2"/>
        <v>35</v>
      </c>
      <c r="C52" t="str">
        <f t="shared" si="3"/>
        <v>dizzy</v>
      </c>
      <c r="D52" s="9" t="s">
        <v>389</v>
      </c>
      <c r="E52" t="s">
        <v>396</v>
      </c>
    </row>
    <row r="53" spans="1:5" x14ac:dyDescent="0.25">
      <c r="A53" t="s">
        <v>174</v>
      </c>
      <c r="B53" s="2">
        <f t="shared" si="2"/>
        <v>36</v>
      </c>
      <c r="C53" t="str">
        <f t="shared" si="3"/>
        <v>thinkbody</v>
      </c>
      <c r="D53" s="9" t="s">
        <v>389</v>
      </c>
      <c r="E53" t="s">
        <v>399</v>
      </c>
    </row>
    <row r="54" spans="1:5" x14ac:dyDescent="0.25">
      <c r="A54" t="s">
        <v>164</v>
      </c>
      <c r="B54" s="2">
        <f t="shared" si="2"/>
        <v>26</v>
      </c>
      <c r="C54" t="str">
        <f t="shared" si="3"/>
        <v>health</v>
      </c>
      <c r="D54" s="7" t="s">
        <v>388</v>
      </c>
      <c r="E54" t="s">
        <v>390</v>
      </c>
    </row>
    <row r="55" spans="1:5" x14ac:dyDescent="0.25">
      <c r="A55" t="s">
        <v>166</v>
      </c>
      <c r="B55" s="2">
        <f t="shared" si="2"/>
        <v>28</v>
      </c>
      <c r="C55" t="str">
        <f t="shared" si="3"/>
        <v>headache</v>
      </c>
      <c r="D55" s="7" t="s">
        <v>388</v>
      </c>
      <c r="E55" t="s">
        <v>392</v>
      </c>
    </row>
    <row r="56" spans="1:5" x14ac:dyDescent="0.25">
      <c r="A56" t="s">
        <v>167</v>
      </c>
      <c r="B56" s="2">
        <f t="shared" si="2"/>
        <v>29</v>
      </c>
      <c r="C56" t="str">
        <f t="shared" si="3"/>
        <v>stomacha</v>
      </c>
      <c r="D56" s="7" t="s">
        <v>388</v>
      </c>
      <c r="E56" t="s">
        <v>393</v>
      </c>
    </row>
    <row r="57" spans="1:5" x14ac:dyDescent="0.25">
      <c r="A57" t="s">
        <v>168</v>
      </c>
      <c r="B57" s="2">
        <f t="shared" si="2"/>
        <v>30</v>
      </c>
      <c r="C57" t="str">
        <f t="shared" si="3"/>
        <v>backache</v>
      </c>
      <c r="D57" s="7" t="s">
        <v>388</v>
      </c>
      <c r="E57" t="s">
        <v>387</v>
      </c>
    </row>
    <row r="58" spans="1:5" x14ac:dyDescent="0.25">
      <c r="A58" t="s">
        <v>238</v>
      </c>
      <c r="B58" s="2">
        <f t="shared" si="2"/>
        <v>70</v>
      </c>
      <c r="C58" t="str">
        <f t="shared" si="3"/>
        <v>injured12m</v>
      </c>
      <c r="D58" s="7" t="s">
        <v>388</v>
      </c>
      <c r="E58" t="s">
        <v>431</v>
      </c>
    </row>
    <row r="59" spans="1:5" x14ac:dyDescent="0.25">
      <c r="A59" t="s">
        <v>149</v>
      </c>
      <c r="B59" s="2">
        <f t="shared" si="2"/>
        <v>20</v>
      </c>
      <c r="C59" t="str">
        <f t="shared" si="3"/>
        <v>fasfamcar</v>
      </c>
      <c r="D59" s="14" t="s">
        <v>384</v>
      </c>
      <c r="E59" t="s">
        <v>380</v>
      </c>
    </row>
    <row r="60" spans="1:5" x14ac:dyDescent="0.25">
      <c r="A60" t="s">
        <v>151</v>
      </c>
      <c r="B60" s="2">
        <f t="shared" si="2"/>
        <v>21</v>
      </c>
      <c r="C60" t="str">
        <f t="shared" si="3"/>
        <v>fasbedroom</v>
      </c>
      <c r="D60" s="14" t="s">
        <v>384</v>
      </c>
      <c r="E60" t="s">
        <v>381</v>
      </c>
    </row>
    <row r="61" spans="1:5" x14ac:dyDescent="0.25">
      <c r="A61" t="s">
        <v>153</v>
      </c>
      <c r="B61" s="2">
        <f t="shared" si="2"/>
        <v>22</v>
      </c>
      <c r="C61" t="str">
        <f t="shared" si="3"/>
        <v>fascompu</v>
      </c>
      <c r="D61" s="14" t="s">
        <v>384</v>
      </c>
      <c r="E61" t="s">
        <v>382</v>
      </c>
    </row>
    <row r="62" spans="1:5" x14ac:dyDescent="0.25">
      <c r="A62" t="s">
        <v>157</v>
      </c>
      <c r="B62" s="2">
        <f t="shared" si="2"/>
        <v>23</v>
      </c>
      <c r="C62" t="str">
        <f t="shared" si="3"/>
        <v>fasbathr</v>
      </c>
      <c r="D62" s="14" t="s">
        <v>384</v>
      </c>
      <c r="E62" t="s">
        <v>383</v>
      </c>
    </row>
    <row r="63" spans="1:5" x14ac:dyDescent="0.25">
      <c r="A63" t="s">
        <v>159</v>
      </c>
      <c r="B63" s="2">
        <f t="shared" si="2"/>
        <v>24</v>
      </c>
      <c r="C63" t="str">
        <f t="shared" si="3"/>
        <v>fasdishw</v>
      </c>
      <c r="D63" s="14" t="s">
        <v>384</v>
      </c>
      <c r="E63" t="s">
        <v>385</v>
      </c>
    </row>
    <row r="64" spans="1:5" x14ac:dyDescent="0.25">
      <c r="A64" t="s">
        <v>161</v>
      </c>
      <c r="B64" s="2">
        <f t="shared" si="2"/>
        <v>25</v>
      </c>
      <c r="C64" t="str">
        <f t="shared" si="3"/>
        <v>fasholid</v>
      </c>
      <c r="D64" s="14" t="s">
        <v>384</v>
      </c>
      <c r="E64" t="s">
        <v>386</v>
      </c>
    </row>
    <row r="65" spans="1:5" x14ac:dyDescent="0.25">
      <c r="A65" t="s">
        <v>189</v>
      </c>
      <c r="B65" s="2">
        <f t="shared" si="2"/>
        <v>44</v>
      </c>
      <c r="C65" t="str">
        <f t="shared" si="3"/>
        <v>fmeal</v>
      </c>
      <c r="D65" s="14" t="s">
        <v>384</v>
      </c>
      <c r="E65" t="s">
        <v>408</v>
      </c>
    </row>
    <row r="66" spans="1:5" x14ac:dyDescent="0.25">
      <c r="A66" t="s">
        <v>126</v>
      </c>
      <c r="B66" s="2">
        <f t="shared" ref="B66:B97" si="4">INT(_xlfn.TEXTBEFORE(A66, " "))</f>
        <v>1</v>
      </c>
      <c r="C66" t="str">
        <f t="shared" ref="C66:C97" si="5">_xlfn.TEXTBEFORE(_xlfn.TEXTAFTER(A66, " "), " ")</f>
        <v>HBSC</v>
      </c>
      <c r="D66" s="15" t="s">
        <v>123</v>
      </c>
      <c r="E66" t="s">
        <v>360</v>
      </c>
    </row>
    <row r="67" spans="1:5" x14ac:dyDescent="0.25">
      <c r="A67" t="s">
        <v>127</v>
      </c>
      <c r="B67" s="2">
        <f t="shared" si="4"/>
        <v>2</v>
      </c>
      <c r="C67" t="str">
        <f t="shared" si="5"/>
        <v>seqno_int</v>
      </c>
      <c r="D67" s="15" t="s">
        <v>123</v>
      </c>
      <c r="E67" t="s">
        <v>361</v>
      </c>
    </row>
    <row r="68" spans="1:5" x14ac:dyDescent="0.25">
      <c r="A68" t="s">
        <v>139</v>
      </c>
      <c r="B68" s="2">
        <f t="shared" si="4"/>
        <v>10</v>
      </c>
      <c r="C68" t="str">
        <f t="shared" si="5"/>
        <v>weight</v>
      </c>
      <c r="D68" s="16" t="s">
        <v>370</v>
      </c>
      <c r="E68" t="s">
        <v>369</v>
      </c>
    </row>
    <row r="69" spans="1:5" x14ac:dyDescent="0.25">
      <c r="A69" t="s">
        <v>140</v>
      </c>
      <c r="B69" s="2">
        <f t="shared" si="4"/>
        <v>11</v>
      </c>
      <c r="C69" t="str">
        <f t="shared" si="5"/>
        <v>adm</v>
      </c>
      <c r="D69" s="16" t="s">
        <v>370</v>
      </c>
      <c r="E69" t="s">
        <v>371</v>
      </c>
    </row>
    <row r="70" spans="1:5" x14ac:dyDescent="0.25">
      <c r="A70" t="s">
        <v>141</v>
      </c>
      <c r="B70" s="2">
        <f t="shared" si="4"/>
        <v>12</v>
      </c>
      <c r="C70" t="str">
        <f t="shared" si="5"/>
        <v>month</v>
      </c>
      <c r="D70" s="16" t="s">
        <v>370</v>
      </c>
      <c r="E70" t="s">
        <v>372</v>
      </c>
    </row>
    <row r="71" spans="1:5" x14ac:dyDescent="0.25">
      <c r="A71" t="s">
        <v>142</v>
      </c>
      <c r="B71" s="2">
        <f t="shared" si="4"/>
        <v>13</v>
      </c>
      <c r="C71" t="str">
        <f t="shared" si="5"/>
        <v>year</v>
      </c>
      <c r="D71" s="16" t="s">
        <v>370</v>
      </c>
      <c r="E71" t="s">
        <v>373</v>
      </c>
    </row>
    <row r="72" spans="1:5" x14ac:dyDescent="0.25">
      <c r="A72" t="s">
        <v>316</v>
      </c>
      <c r="B72" s="2">
        <f t="shared" si="4"/>
        <v>96</v>
      </c>
      <c r="C72" t="str">
        <f t="shared" si="5"/>
        <v>countryb</v>
      </c>
      <c r="D72" s="16" t="s">
        <v>370</v>
      </c>
      <c r="E72" t="s">
        <v>466</v>
      </c>
    </row>
    <row r="73" spans="1:5" x14ac:dyDescent="0.25">
      <c r="A73" t="s">
        <v>319</v>
      </c>
      <c r="B73" s="2">
        <f t="shared" si="4"/>
        <v>97</v>
      </c>
      <c r="C73" t="str">
        <f t="shared" si="5"/>
        <v>countryb</v>
      </c>
      <c r="D73" s="16" t="s">
        <v>370</v>
      </c>
      <c r="E73" t="s">
        <v>467</v>
      </c>
    </row>
    <row r="74" spans="1:5" x14ac:dyDescent="0.25">
      <c r="A74" t="s">
        <v>130</v>
      </c>
      <c r="B74" s="2">
        <f t="shared" si="4"/>
        <v>3</v>
      </c>
      <c r="C74" t="str">
        <f t="shared" si="5"/>
        <v>cluster</v>
      </c>
      <c r="D74" s="17" t="s">
        <v>363</v>
      </c>
      <c r="E74" t="s">
        <v>362</v>
      </c>
    </row>
    <row r="75" spans="1:5" x14ac:dyDescent="0.25">
      <c r="A75" t="s">
        <v>133</v>
      </c>
      <c r="B75" s="2">
        <f t="shared" si="4"/>
        <v>4</v>
      </c>
      <c r="C75" t="str">
        <f t="shared" si="5"/>
        <v>countryno</v>
      </c>
      <c r="D75" s="17" t="s">
        <v>363</v>
      </c>
      <c r="E75" t="s">
        <v>494</v>
      </c>
    </row>
    <row r="76" spans="1:5" x14ac:dyDescent="0.25">
      <c r="A76" t="s">
        <v>134</v>
      </c>
      <c r="B76" s="2">
        <f t="shared" si="4"/>
        <v>5</v>
      </c>
      <c r="C76" t="str">
        <f t="shared" si="5"/>
        <v>region</v>
      </c>
      <c r="D76" s="17" t="s">
        <v>363</v>
      </c>
      <c r="E76" t="s">
        <v>364</v>
      </c>
    </row>
    <row r="77" spans="1:5" x14ac:dyDescent="0.25">
      <c r="A77" t="s">
        <v>135</v>
      </c>
      <c r="B77" s="2">
        <f t="shared" si="4"/>
        <v>6</v>
      </c>
      <c r="C77" t="str">
        <f t="shared" si="5"/>
        <v>id1</v>
      </c>
      <c r="D77" s="17" t="s">
        <v>363</v>
      </c>
      <c r="E77" t="s">
        <v>365</v>
      </c>
    </row>
    <row r="78" spans="1:5" x14ac:dyDescent="0.25">
      <c r="A78" t="s">
        <v>136</v>
      </c>
      <c r="B78" s="2">
        <f t="shared" si="4"/>
        <v>7</v>
      </c>
      <c r="C78" t="str">
        <f t="shared" si="5"/>
        <v>id2</v>
      </c>
      <c r="D78" s="17" t="s">
        <v>363</v>
      </c>
      <c r="E78" t="s">
        <v>366</v>
      </c>
    </row>
    <row r="79" spans="1:5" x14ac:dyDescent="0.25">
      <c r="A79" t="s">
        <v>137</v>
      </c>
      <c r="B79" s="2">
        <f t="shared" si="4"/>
        <v>8</v>
      </c>
      <c r="C79" t="str">
        <f t="shared" si="5"/>
        <v>id3</v>
      </c>
      <c r="D79" s="17" t="s">
        <v>363</v>
      </c>
      <c r="E79" t="s">
        <v>367</v>
      </c>
    </row>
    <row r="80" spans="1:5" x14ac:dyDescent="0.25">
      <c r="A80" t="s">
        <v>138</v>
      </c>
      <c r="B80" s="2">
        <f t="shared" si="4"/>
        <v>9</v>
      </c>
      <c r="C80" t="str">
        <f t="shared" si="5"/>
        <v>id4</v>
      </c>
      <c r="D80" s="17" t="s">
        <v>363</v>
      </c>
      <c r="E80" t="s">
        <v>368</v>
      </c>
    </row>
    <row r="81" spans="1:5" x14ac:dyDescent="0.25">
      <c r="A81" t="s">
        <v>209</v>
      </c>
      <c r="B81" s="2">
        <f t="shared" si="4"/>
        <v>57</v>
      </c>
      <c r="C81" t="str">
        <f t="shared" si="5"/>
        <v>likeschool</v>
      </c>
      <c r="D81" s="18" t="s">
        <v>422</v>
      </c>
      <c r="E81" t="s">
        <v>423</v>
      </c>
    </row>
    <row r="82" spans="1:5" x14ac:dyDescent="0.25">
      <c r="A82" t="s">
        <v>211</v>
      </c>
      <c r="B82" s="2">
        <f t="shared" si="4"/>
        <v>58</v>
      </c>
      <c r="C82" t="str">
        <f t="shared" si="5"/>
        <v>schoolpr</v>
      </c>
      <c r="D82" s="18" t="s">
        <v>422</v>
      </c>
      <c r="E82" t="s">
        <v>424</v>
      </c>
    </row>
    <row r="83" spans="1:5" x14ac:dyDescent="0.25">
      <c r="A83" t="s">
        <v>213</v>
      </c>
      <c r="B83" s="2">
        <f t="shared" si="4"/>
        <v>59</v>
      </c>
      <c r="C83" t="str">
        <f t="shared" si="5"/>
        <v>studtoge</v>
      </c>
      <c r="D83" s="18" t="s">
        <v>422</v>
      </c>
      <c r="E83" t="s">
        <v>425</v>
      </c>
    </row>
    <row r="84" spans="1:5" x14ac:dyDescent="0.25">
      <c r="A84" t="s">
        <v>215</v>
      </c>
      <c r="B84" s="2">
        <f t="shared" si="4"/>
        <v>60</v>
      </c>
      <c r="C84" t="str">
        <f t="shared" si="5"/>
        <v>studhelp</v>
      </c>
      <c r="D84" s="18" t="s">
        <v>422</v>
      </c>
      <c r="E84" t="s">
        <v>426</v>
      </c>
    </row>
    <row r="85" spans="1:5" x14ac:dyDescent="0.25">
      <c r="A85" t="s">
        <v>217</v>
      </c>
      <c r="B85" s="2">
        <f t="shared" si="4"/>
        <v>61</v>
      </c>
      <c r="C85" t="str">
        <f t="shared" si="5"/>
        <v>studaccept</v>
      </c>
      <c r="D85" s="18" t="s">
        <v>422</v>
      </c>
      <c r="E85" t="s">
        <v>427</v>
      </c>
    </row>
    <row r="86" spans="1:5" x14ac:dyDescent="0.25">
      <c r="A86" t="s">
        <v>218</v>
      </c>
      <c r="B86" s="2">
        <f t="shared" si="4"/>
        <v>62</v>
      </c>
      <c r="C86" t="str">
        <f t="shared" si="5"/>
        <v>teachera</v>
      </c>
      <c r="D86" s="18" t="s">
        <v>422</v>
      </c>
      <c r="E86" t="s">
        <v>428</v>
      </c>
    </row>
    <row r="87" spans="1:5" x14ac:dyDescent="0.25">
      <c r="A87" t="s">
        <v>219</v>
      </c>
      <c r="B87" s="2">
        <f t="shared" si="4"/>
        <v>63</v>
      </c>
      <c r="C87" t="str">
        <f t="shared" si="5"/>
        <v>teacherc</v>
      </c>
      <c r="D87" s="18" t="s">
        <v>422</v>
      </c>
      <c r="E87" t="s">
        <v>433</v>
      </c>
    </row>
    <row r="88" spans="1:5" x14ac:dyDescent="0.25">
      <c r="A88" t="s">
        <v>221</v>
      </c>
      <c r="B88" s="2">
        <f t="shared" si="4"/>
        <v>64</v>
      </c>
      <c r="C88" t="str">
        <f t="shared" si="5"/>
        <v>teachert</v>
      </c>
      <c r="D88" s="18" t="s">
        <v>422</v>
      </c>
      <c r="E88" t="s">
        <v>434</v>
      </c>
    </row>
    <row r="89" spans="1:5" x14ac:dyDescent="0.25">
      <c r="A89" t="s">
        <v>261</v>
      </c>
      <c r="B89" s="2">
        <f t="shared" si="4"/>
        <v>82</v>
      </c>
      <c r="C89" t="str">
        <f t="shared" si="5"/>
        <v>emcsocmed1</v>
      </c>
      <c r="D89" s="19" t="s">
        <v>453</v>
      </c>
      <c r="E89" t="s">
        <v>451</v>
      </c>
    </row>
    <row r="90" spans="1:5" x14ac:dyDescent="0.25">
      <c r="A90" t="s">
        <v>266</v>
      </c>
      <c r="B90" s="2">
        <f t="shared" si="4"/>
        <v>83</v>
      </c>
      <c r="C90" t="str">
        <f t="shared" si="5"/>
        <v>emcsocmed2</v>
      </c>
      <c r="D90" s="19" t="s">
        <v>453</v>
      </c>
      <c r="E90" t="s">
        <v>452</v>
      </c>
    </row>
    <row r="91" spans="1:5" x14ac:dyDescent="0.25">
      <c r="A91" t="s">
        <v>271</v>
      </c>
      <c r="B91" s="2">
        <f t="shared" si="4"/>
        <v>84</v>
      </c>
      <c r="C91" t="str">
        <f t="shared" si="5"/>
        <v>emcsocmed3</v>
      </c>
      <c r="D91" s="19" t="s">
        <v>453</v>
      </c>
      <c r="E91" t="s">
        <v>454</v>
      </c>
    </row>
    <row r="92" spans="1:5" x14ac:dyDescent="0.25">
      <c r="A92" t="s">
        <v>273</v>
      </c>
      <c r="B92" s="2">
        <f t="shared" si="4"/>
        <v>85</v>
      </c>
      <c r="C92" t="str">
        <f t="shared" si="5"/>
        <v>emcsocmed4</v>
      </c>
      <c r="D92" s="19" t="s">
        <v>453</v>
      </c>
      <c r="E92" t="s">
        <v>455</v>
      </c>
    </row>
    <row r="93" spans="1:5" x14ac:dyDescent="0.25">
      <c r="A93" t="s">
        <v>277</v>
      </c>
      <c r="B93" s="2">
        <f t="shared" si="4"/>
        <v>86</v>
      </c>
      <c r="C93" t="str">
        <f t="shared" si="5"/>
        <v>emcsocmed5</v>
      </c>
      <c r="D93" s="19" t="s">
        <v>453</v>
      </c>
      <c r="E93" t="s">
        <v>456</v>
      </c>
    </row>
    <row r="94" spans="1:5" x14ac:dyDescent="0.25">
      <c r="A94" t="s">
        <v>282</v>
      </c>
      <c r="B94" s="2">
        <f t="shared" si="4"/>
        <v>87</v>
      </c>
      <c r="C94" t="str">
        <f t="shared" si="5"/>
        <v>emcsocmed6</v>
      </c>
      <c r="D94" s="19" t="s">
        <v>453</v>
      </c>
      <c r="E94" t="s">
        <v>457</v>
      </c>
    </row>
    <row r="95" spans="1:5" x14ac:dyDescent="0.25">
      <c r="A95" t="s">
        <v>286</v>
      </c>
      <c r="B95" s="2">
        <f t="shared" si="4"/>
        <v>88</v>
      </c>
      <c r="C95" t="str">
        <f t="shared" si="5"/>
        <v>emcsocmed7</v>
      </c>
      <c r="D95" s="19" t="s">
        <v>453</v>
      </c>
      <c r="E95" t="s">
        <v>458</v>
      </c>
    </row>
    <row r="96" spans="1:5" x14ac:dyDescent="0.25">
      <c r="A96" t="s">
        <v>291</v>
      </c>
      <c r="B96" s="2">
        <f t="shared" si="4"/>
        <v>89</v>
      </c>
      <c r="C96" t="str">
        <f t="shared" si="5"/>
        <v>emcsocmed8</v>
      </c>
      <c r="D96" s="19" t="s">
        <v>453</v>
      </c>
      <c r="E96" t="s">
        <v>459</v>
      </c>
    </row>
    <row r="97" spans="1:5" x14ac:dyDescent="0.25">
      <c r="A97" t="s">
        <v>295</v>
      </c>
      <c r="B97" s="2">
        <f t="shared" si="4"/>
        <v>90</v>
      </c>
      <c r="C97" t="str">
        <f t="shared" si="5"/>
        <v>emcsocmed9</v>
      </c>
      <c r="D97" s="19" t="s">
        <v>453</v>
      </c>
      <c r="E97" t="s">
        <v>460</v>
      </c>
    </row>
    <row r="98" spans="1:5" x14ac:dyDescent="0.25">
      <c r="A98" t="s">
        <v>143</v>
      </c>
      <c r="B98" s="2">
        <f t="shared" ref="B98:B129" si="6">INT(_xlfn.TEXTBEFORE(A98, " "))</f>
        <v>14</v>
      </c>
      <c r="C98" t="str">
        <f t="shared" ref="C98:C115" si="7">_xlfn.TEXTBEFORE(_xlfn.TEXTAFTER(A98, " "), " ")</f>
        <v>age</v>
      </c>
      <c r="D98" s="20" t="s">
        <v>493</v>
      </c>
      <c r="E98" t="s">
        <v>374</v>
      </c>
    </row>
    <row r="99" spans="1:5" x14ac:dyDescent="0.25">
      <c r="A99" t="s">
        <v>144</v>
      </c>
      <c r="B99" s="2">
        <f t="shared" si="6"/>
        <v>15</v>
      </c>
      <c r="C99" t="str">
        <f t="shared" si="7"/>
        <v>agecat</v>
      </c>
      <c r="D99" s="20" t="s">
        <v>493</v>
      </c>
      <c r="E99" t="s">
        <v>375</v>
      </c>
    </row>
    <row r="100" spans="1:5" x14ac:dyDescent="0.25">
      <c r="A100" t="s">
        <v>145</v>
      </c>
      <c r="B100" s="2">
        <f t="shared" si="6"/>
        <v>16</v>
      </c>
      <c r="C100" t="str">
        <f t="shared" si="7"/>
        <v>sex</v>
      </c>
      <c r="D100" s="20" t="s">
        <v>493</v>
      </c>
      <c r="E100" t="s">
        <v>376</v>
      </c>
    </row>
    <row r="101" spans="1:5" x14ac:dyDescent="0.25">
      <c r="A101" t="s">
        <v>146</v>
      </c>
      <c r="B101" s="2">
        <f t="shared" si="6"/>
        <v>17</v>
      </c>
      <c r="C101" t="str">
        <f t="shared" si="7"/>
        <v>grade</v>
      </c>
      <c r="D101" s="20" t="s">
        <v>493</v>
      </c>
      <c r="E101" t="s">
        <v>377</v>
      </c>
    </row>
    <row r="102" spans="1:5" x14ac:dyDescent="0.25">
      <c r="A102" t="s">
        <v>147</v>
      </c>
      <c r="B102" s="2">
        <f t="shared" si="6"/>
        <v>18</v>
      </c>
      <c r="C102" t="str">
        <f t="shared" si="7"/>
        <v>monthbirth</v>
      </c>
      <c r="D102" s="20" t="s">
        <v>493</v>
      </c>
      <c r="E102" t="s">
        <v>378</v>
      </c>
    </row>
    <row r="103" spans="1:5" x14ac:dyDescent="0.25">
      <c r="A103" t="s">
        <v>148</v>
      </c>
      <c r="B103" s="2">
        <f t="shared" si="6"/>
        <v>19</v>
      </c>
      <c r="C103" t="str">
        <f t="shared" si="7"/>
        <v>yearbirth</v>
      </c>
      <c r="D103" s="20" t="s">
        <v>493</v>
      </c>
      <c r="E103" t="s">
        <v>379</v>
      </c>
    </row>
    <row r="104" spans="1:5" x14ac:dyDescent="0.25">
      <c r="A104" t="s">
        <v>206</v>
      </c>
      <c r="B104" s="2">
        <f t="shared" si="6"/>
        <v>55</v>
      </c>
      <c r="C104" t="str">
        <f t="shared" si="7"/>
        <v>bodyweight</v>
      </c>
      <c r="D104" s="20" t="s">
        <v>493</v>
      </c>
      <c r="E104" t="s">
        <v>420</v>
      </c>
    </row>
    <row r="105" spans="1:5" x14ac:dyDescent="0.25">
      <c r="A105" t="s">
        <v>208</v>
      </c>
      <c r="B105" s="2">
        <f t="shared" si="6"/>
        <v>56</v>
      </c>
      <c r="C105" t="str">
        <f t="shared" si="7"/>
        <v>bodyheight</v>
      </c>
      <c r="D105" s="20" t="s">
        <v>493</v>
      </c>
      <c r="E105" t="s">
        <v>421</v>
      </c>
    </row>
    <row r="106" spans="1:5" x14ac:dyDescent="0.25">
      <c r="A106" t="s">
        <v>315</v>
      </c>
      <c r="B106" s="2">
        <f t="shared" si="6"/>
        <v>95</v>
      </c>
      <c r="C106" t="str">
        <f t="shared" si="7"/>
        <v>countryb</v>
      </c>
      <c r="D106" s="20" t="s">
        <v>493</v>
      </c>
      <c r="E106" t="s">
        <v>465</v>
      </c>
    </row>
    <row r="107" spans="1:5" x14ac:dyDescent="0.25">
      <c r="A107" t="s">
        <v>346</v>
      </c>
      <c r="B107" s="2">
        <f t="shared" si="6"/>
        <v>116</v>
      </c>
      <c r="C107" t="str">
        <f t="shared" si="7"/>
        <v>MBMI</v>
      </c>
      <c r="D107" s="20" t="s">
        <v>493</v>
      </c>
      <c r="E107" t="s">
        <v>488</v>
      </c>
    </row>
    <row r="108" spans="1:5" x14ac:dyDescent="0.25">
      <c r="A108" t="s">
        <v>352</v>
      </c>
      <c r="B108" s="2">
        <f t="shared" si="6"/>
        <v>119</v>
      </c>
      <c r="C108" t="str">
        <f t="shared" si="7"/>
        <v>IOTF4</v>
      </c>
      <c r="D108" s="21" t="s">
        <v>493</v>
      </c>
      <c r="E108" t="s">
        <v>491</v>
      </c>
    </row>
    <row r="109" spans="1:5" x14ac:dyDescent="0.25">
      <c r="A109" t="s">
        <v>353</v>
      </c>
      <c r="B109" s="2">
        <f t="shared" si="6"/>
        <v>120</v>
      </c>
      <c r="C109" t="str">
        <f t="shared" si="7"/>
        <v>oweight_</v>
      </c>
      <c r="D109" s="21" t="s">
        <v>493</v>
      </c>
      <c r="E109" t="s">
        <v>492</v>
      </c>
    </row>
    <row r="110" spans="1:5" x14ac:dyDescent="0.25">
      <c r="A110" t="s">
        <v>198</v>
      </c>
      <c r="B110" s="2">
        <f t="shared" si="6"/>
        <v>47</v>
      </c>
      <c r="C110" t="str">
        <f t="shared" si="7"/>
        <v>smokltm</v>
      </c>
      <c r="D110" s="22" t="s">
        <v>411</v>
      </c>
      <c r="E110" t="s">
        <v>412</v>
      </c>
    </row>
    <row r="111" spans="1:5" x14ac:dyDescent="0.25">
      <c r="A111" t="s">
        <v>199</v>
      </c>
      <c r="B111" s="2">
        <f t="shared" si="6"/>
        <v>48</v>
      </c>
      <c r="C111" t="str">
        <f t="shared" si="7"/>
        <v>smok30d_2</v>
      </c>
      <c r="D111" s="22" t="s">
        <v>411</v>
      </c>
      <c r="E111" t="s">
        <v>413</v>
      </c>
    </row>
    <row r="112" spans="1:5" x14ac:dyDescent="0.25">
      <c r="A112" t="s">
        <v>200</v>
      </c>
      <c r="B112" s="2">
        <f t="shared" si="6"/>
        <v>49</v>
      </c>
      <c r="C112" t="str">
        <f t="shared" si="7"/>
        <v>alcltm</v>
      </c>
      <c r="D112" s="22" t="s">
        <v>411</v>
      </c>
      <c r="E112" t="s">
        <v>414</v>
      </c>
    </row>
    <row r="113" spans="1:5" x14ac:dyDescent="0.25">
      <c r="A113" t="s">
        <v>201</v>
      </c>
      <c r="B113" s="2">
        <f t="shared" si="6"/>
        <v>50</v>
      </c>
      <c r="C113" t="str">
        <f t="shared" si="7"/>
        <v>alc30d_2</v>
      </c>
      <c r="D113" s="22" t="s">
        <v>411</v>
      </c>
      <c r="E113" t="s">
        <v>415</v>
      </c>
    </row>
    <row r="114" spans="1:5" x14ac:dyDescent="0.25">
      <c r="A114" t="s">
        <v>202</v>
      </c>
      <c r="B114" s="2">
        <f t="shared" si="6"/>
        <v>51</v>
      </c>
      <c r="C114" t="str">
        <f t="shared" si="7"/>
        <v>drunkltm</v>
      </c>
      <c r="D114" s="22" t="s">
        <v>411</v>
      </c>
      <c r="E114" t="s">
        <v>416</v>
      </c>
    </row>
    <row r="115" spans="1:5" x14ac:dyDescent="0.25">
      <c r="A115" t="s">
        <v>203</v>
      </c>
      <c r="B115" s="2">
        <f t="shared" si="6"/>
        <v>52</v>
      </c>
      <c r="C115" t="str">
        <f t="shared" si="7"/>
        <v>drunk30d</v>
      </c>
      <c r="D115" s="22" t="s">
        <v>411</v>
      </c>
      <c r="E115" t="s">
        <v>417</v>
      </c>
    </row>
    <row r="116" spans="1:5" x14ac:dyDescent="0.25">
      <c r="A116" t="s">
        <v>204</v>
      </c>
      <c r="B116" s="2">
        <f t="shared" si="6"/>
        <v>53</v>
      </c>
      <c r="C116" t="s">
        <v>52</v>
      </c>
      <c r="D116" s="22" t="s">
        <v>411</v>
      </c>
      <c r="E116" t="s">
        <v>418</v>
      </c>
    </row>
    <row r="117" spans="1:5" x14ac:dyDescent="0.25">
      <c r="A117" t="s">
        <v>205</v>
      </c>
      <c r="B117" s="2">
        <f t="shared" si="6"/>
        <v>54</v>
      </c>
      <c r="C117" t="s">
        <v>53</v>
      </c>
      <c r="D117" s="22" t="s">
        <v>411</v>
      </c>
      <c r="E117" t="s">
        <v>419</v>
      </c>
    </row>
    <row r="118" spans="1:5" x14ac:dyDescent="0.25">
      <c r="A118" t="s">
        <v>300</v>
      </c>
      <c r="B118" s="2">
        <f t="shared" si="6"/>
        <v>91</v>
      </c>
      <c r="C118" t="str">
        <f>_xlfn.TEXTBEFORE(_xlfn.TEXTAFTER(A118, " "), " ")</f>
        <v>hadsex</v>
      </c>
      <c r="D118" s="22" t="s">
        <v>411</v>
      </c>
      <c r="E118" t="s">
        <v>461</v>
      </c>
    </row>
    <row r="119" spans="1:5" x14ac:dyDescent="0.25">
      <c r="A119" t="s">
        <v>304</v>
      </c>
      <c r="B119" s="2">
        <f t="shared" si="6"/>
        <v>92</v>
      </c>
      <c r="C119" t="str">
        <f>_xlfn.TEXTBEFORE(_xlfn.TEXTAFTER(A119, " "), " ")</f>
        <v>agesex</v>
      </c>
      <c r="D119" s="22" t="s">
        <v>411</v>
      </c>
      <c r="E119" t="s">
        <v>462</v>
      </c>
    </row>
    <row r="120" spans="1:5" x14ac:dyDescent="0.25">
      <c r="A120" t="s">
        <v>308</v>
      </c>
      <c r="B120" s="2">
        <f t="shared" si="6"/>
        <v>93</v>
      </c>
      <c r="C120" t="str">
        <f>_xlfn.TEXTBEFORE(_xlfn.TEXTAFTER(A120, " "), " ")</f>
        <v>contrace</v>
      </c>
      <c r="D120" s="22" t="s">
        <v>411</v>
      </c>
      <c r="E120" t="s">
        <v>463</v>
      </c>
    </row>
    <row r="121" spans="1:5" x14ac:dyDescent="0.25">
      <c r="A121" t="s">
        <v>310</v>
      </c>
      <c r="B121" s="2">
        <f t="shared" si="6"/>
        <v>94</v>
      </c>
      <c r="C121" t="str">
        <f>_xlfn.TEXTBEFORE(_xlfn.TEXTAFTER(A121, " "), " ")</f>
        <v>contrace</v>
      </c>
      <c r="D121" s="22" t="s">
        <v>411</v>
      </c>
      <c r="E121" t="s">
        <v>464</v>
      </c>
    </row>
  </sheetData>
  <autoFilter ref="A1:E121" xr:uid="{4C1DFCD6-A392-4885-A4AF-8ABFEB054816}">
    <sortState xmlns:xlrd2="http://schemas.microsoft.com/office/spreadsheetml/2017/richdata2" ref="A2:E121">
      <sortCondition ref="D2:D121"/>
      <sortCondition ref="B2:B121"/>
    </sortState>
  </autoFilter>
  <sortState xmlns:xlrd2="http://schemas.microsoft.com/office/spreadsheetml/2017/richdata2" ref="A2:B121">
    <sortCondition ref="B2:B12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CFBF-79F6-429D-8AF8-D275BDFF7C9C}">
  <dimension ref="A1:C121"/>
  <sheetViews>
    <sheetView workbookViewId="0">
      <selection activeCell="B7" sqref="B7"/>
    </sheetView>
  </sheetViews>
  <sheetFormatPr defaultRowHeight="15" x14ac:dyDescent="0.25"/>
  <cols>
    <col min="1" max="1" width="18" bestFit="1" customWidth="1"/>
  </cols>
  <sheetData>
    <row r="1" spans="1:3" x14ac:dyDescent="0.25">
      <c r="A1" t="s">
        <v>120</v>
      </c>
      <c r="B1" t="s">
        <v>121</v>
      </c>
      <c r="C1" t="s">
        <v>122</v>
      </c>
    </row>
    <row r="2" spans="1:3" x14ac:dyDescent="0.25">
      <c r="A2" t="s">
        <v>0</v>
      </c>
      <c r="B2" t="s">
        <v>123</v>
      </c>
    </row>
    <row r="3" spans="1:3" x14ac:dyDescent="0.25">
      <c r="A3" t="s">
        <v>1</v>
      </c>
      <c r="B3" t="s">
        <v>123</v>
      </c>
    </row>
    <row r="4" spans="1:3" x14ac:dyDescent="0.25">
      <c r="A4" t="s">
        <v>2</v>
      </c>
      <c r="B4" t="s">
        <v>124</v>
      </c>
    </row>
    <row r="5" spans="1:3" x14ac:dyDescent="0.25">
      <c r="A5" t="s">
        <v>3</v>
      </c>
      <c r="B5" t="s">
        <v>124</v>
      </c>
    </row>
    <row r="6" spans="1:3" x14ac:dyDescent="0.25">
      <c r="A6" t="s">
        <v>4</v>
      </c>
      <c r="B6" t="s">
        <v>124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8CE5-74C9-4280-8D4B-C71D58D602D4}">
  <dimension ref="A1:A240"/>
  <sheetViews>
    <sheetView topLeftCell="A52" workbookViewId="0">
      <selection activeCell="A232" sqref="A232"/>
    </sheetView>
  </sheetViews>
  <sheetFormatPr defaultRowHeight="15" x14ac:dyDescent="0.25"/>
  <cols>
    <col min="1" max="1" width="98.7109375" bestFit="1" customWidth="1"/>
  </cols>
  <sheetData>
    <row r="1" spans="1:1" x14ac:dyDescent="0.25">
      <c r="A1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154</v>
      </c>
    </row>
    <row r="31" spans="1:1" x14ac:dyDescent="0.25">
      <c r="A31" t="s">
        <v>155</v>
      </c>
    </row>
    <row r="32" spans="1:1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160</v>
      </c>
    </row>
    <row r="37" spans="1:1" x14ac:dyDescent="0.25">
      <c r="A37" t="s">
        <v>161</v>
      </c>
    </row>
    <row r="38" spans="1:1" x14ac:dyDescent="0.25">
      <c r="A38" t="s">
        <v>162</v>
      </c>
    </row>
    <row r="39" spans="1:1" x14ac:dyDescent="0.25">
      <c r="A39" t="s">
        <v>163</v>
      </c>
    </row>
    <row r="40" spans="1:1" x14ac:dyDescent="0.25">
      <c r="A40" t="s">
        <v>164</v>
      </c>
    </row>
    <row r="41" spans="1:1" x14ac:dyDescent="0.25">
      <c r="A41" t="s">
        <v>165</v>
      </c>
    </row>
    <row r="42" spans="1:1" x14ac:dyDescent="0.25">
      <c r="A42" t="s">
        <v>166</v>
      </c>
    </row>
    <row r="43" spans="1:1" x14ac:dyDescent="0.25">
      <c r="A43" t="s">
        <v>167</v>
      </c>
    </row>
    <row r="44" spans="1:1" x14ac:dyDescent="0.25">
      <c r="A44" t="s">
        <v>168</v>
      </c>
    </row>
    <row r="45" spans="1:1" x14ac:dyDescent="0.25">
      <c r="A45" t="s">
        <v>169</v>
      </c>
    </row>
    <row r="46" spans="1:1" x14ac:dyDescent="0.25">
      <c r="A46" t="s">
        <v>170</v>
      </c>
    </row>
    <row r="47" spans="1:1" x14ac:dyDescent="0.25">
      <c r="A47" t="s">
        <v>171</v>
      </c>
    </row>
    <row r="48" spans="1:1" x14ac:dyDescent="0.25">
      <c r="A48" t="s">
        <v>172</v>
      </c>
    </row>
    <row r="49" spans="1:1" x14ac:dyDescent="0.25">
      <c r="A49" t="s">
        <v>173</v>
      </c>
    </row>
    <row r="50" spans="1:1" x14ac:dyDescent="0.25">
      <c r="A50" t="s">
        <v>174</v>
      </c>
    </row>
    <row r="51" spans="1:1" x14ac:dyDescent="0.25">
      <c r="A51" t="s">
        <v>175</v>
      </c>
    </row>
    <row r="52" spans="1:1" x14ac:dyDescent="0.25">
      <c r="A52" t="s">
        <v>176</v>
      </c>
    </row>
    <row r="53" spans="1:1" x14ac:dyDescent="0.25">
      <c r="A53" t="s">
        <v>177</v>
      </c>
    </row>
    <row r="54" spans="1:1" x14ac:dyDescent="0.25">
      <c r="A54" t="s">
        <v>178</v>
      </c>
    </row>
    <row r="55" spans="1:1" x14ac:dyDescent="0.25">
      <c r="A55" t="s">
        <v>179</v>
      </c>
    </row>
    <row r="56" spans="1:1" x14ac:dyDescent="0.25">
      <c r="A56" t="s">
        <v>180</v>
      </c>
    </row>
    <row r="57" spans="1:1" x14ac:dyDescent="0.25">
      <c r="A57" t="s">
        <v>181</v>
      </c>
    </row>
    <row r="58" spans="1:1" x14ac:dyDescent="0.25">
      <c r="A58" t="s">
        <v>182</v>
      </c>
    </row>
    <row r="59" spans="1:1" x14ac:dyDescent="0.25">
      <c r="A59" t="s">
        <v>183</v>
      </c>
    </row>
    <row r="60" spans="1:1" x14ac:dyDescent="0.25">
      <c r="A60" t="s">
        <v>184</v>
      </c>
    </row>
    <row r="61" spans="1:1" x14ac:dyDescent="0.25">
      <c r="A61" t="s">
        <v>181</v>
      </c>
    </row>
    <row r="62" spans="1:1" x14ac:dyDescent="0.25">
      <c r="A62" t="s">
        <v>182</v>
      </c>
    </row>
    <row r="63" spans="1:1" x14ac:dyDescent="0.25">
      <c r="A63" t="s">
        <v>183</v>
      </c>
    </row>
    <row r="64" spans="1:1" x14ac:dyDescent="0.25">
      <c r="A64" t="s">
        <v>185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188</v>
      </c>
    </row>
    <row r="68" spans="1:1" x14ac:dyDescent="0.25">
      <c r="A68" t="s">
        <v>189</v>
      </c>
    </row>
    <row r="69" spans="1:1" x14ac:dyDescent="0.25">
      <c r="A69" t="s">
        <v>190</v>
      </c>
    </row>
    <row r="70" spans="1:1" x14ac:dyDescent="0.25">
      <c r="A70" t="s">
        <v>191</v>
      </c>
    </row>
    <row r="71" spans="1:1" x14ac:dyDescent="0.25">
      <c r="A71" t="s">
        <v>192</v>
      </c>
    </row>
    <row r="72" spans="1:1" x14ac:dyDescent="0.25">
      <c r="A72" t="s">
        <v>193</v>
      </c>
    </row>
    <row r="73" spans="1:1" x14ac:dyDescent="0.25">
      <c r="A73" t="s">
        <v>194</v>
      </c>
    </row>
    <row r="74" spans="1:1" x14ac:dyDescent="0.25">
      <c r="A74" t="s">
        <v>195</v>
      </c>
    </row>
    <row r="75" spans="1:1" x14ac:dyDescent="0.25">
      <c r="A75" t="s">
        <v>196</v>
      </c>
    </row>
    <row r="76" spans="1:1" x14ac:dyDescent="0.25">
      <c r="A76" t="s">
        <v>197</v>
      </c>
    </row>
    <row r="77" spans="1:1" x14ac:dyDescent="0.25">
      <c r="A77" t="s">
        <v>198</v>
      </c>
    </row>
    <row r="78" spans="1:1" x14ac:dyDescent="0.25">
      <c r="A78" t="s">
        <v>199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202</v>
      </c>
    </row>
    <row r="82" spans="1:1" x14ac:dyDescent="0.25">
      <c r="A82" t="s">
        <v>203</v>
      </c>
    </row>
    <row r="83" spans="1:1" x14ac:dyDescent="0.25">
      <c r="A83" t="s">
        <v>204</v>
      </c>
    </row>
    <row r="84" spans="1:1" x14ac:dyDescent="0.25">
      <c r="A84" t="s">
        <v>205</v>
      </c>
    </row>
    <row r="85" spans="1:1" x14ac:dyDescent="0.25">
      <c r="A85" t="s">
        <v>206</v>
      </c>
    </row>
    <row r="86" spans="1:1" x14ac:dyDescent="0.25">
      <c r="A86" t="s">
        <v>207</v>
      </c>
    </row>
    <row r="87" spans="1:1" x14ac:dyDescent="0.25">
      <c r="A87" t="s">
        <v>208</v>
      </c>
    </row>
    <row r="88" spans="1:1" x14ac:dyDescent="0.25">
      <c r="A88" t="s">
        <v>209</v>
      </c>
    </row>
    <row r="89" spans="1:1" x14ac:dyDescent="0.25">
      <c r="A89" t="s">
        <v>210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213</v>
      </c>
    </row>
    <row r="93" spans="1:1" x14ac:dyDescent="0.25">
      <c r="A93" t="s">
        <v>214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217</v>
      </c>
    </row>
    <row r="97" spans="1:1" x14ac:dyDescent="0.25">
      <c r="A97" t="s">
        <v>218</v>
      </c>
    </row>
    <row r="98" spans="1:1" x14ac:dyDescent="0.25">
      <c r="A98" t="s">
        <v>219</v>
      </c>
    </row>
    <row r="99" spans="1:1" x14ac:dyDescent="0.25">
      <c r="A99" t="s">
        <v>220</v>
      </c>
    </row>
    <row r="100" spans="1:1" x14ac:dyDescent="0.25">
      <c r="A100" t="s">
        <v>221</v>
      </c>
    </row>
    <row r="101" spans="1:1" x14ac:dyDescent="0.25">
      <c r="A101" t="s">
        <v>222</v>
      </c>
    </row>
    <row r="102" spans="1:1" x14ac:dyDescent="0.25">
      <c r="A102" t="s">
        <v>223</v>
      </c>
    </row>
    <row r="103" spans="1:1" x14ac:dyDescent="0.25">
      <c r="A103" t="s">
        <v>224</v>
      </c>
    </row>
    <row r="104" spans="1:1" x14ac:dyDescent="0.25">
      <c r="A104" t="s">
        <v>225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228</v>
      </c>
    </row>
    <row r="108" spans="1:1" x14ac:dyDescent="0.25">
      <c r="A108" t="s">
        <v>229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t="s">
        <v>234</v>
      </c>
    </row>
    <row r="114" spans="1:1" x14ac:dyDescent="0.25">
      <c r="A114" t="s">
        <v>235</v>
      </c>
    </row>
    <row r="115" spans="1:1" x14ac:dyDescent="0.25">
      <c r="A115" t="s">
        <v>236</v>
      </c>
    </row>
    <row r="116" spans="1:1" x14ac:dyDescent="0.25">
      <c r="A116" t="s">
        <v>237</v>
      </c>
    </row>
    <row r="117" spans="1:1" x14ac:dyDescent="0.25">
      <c r="A117" t="s">
        <v>238</v>
      </c>
    </row>
    <row r="118" spans="1:1" x14ac:dyDescent="0.25">
      <c r="A118" t="s">
        <v>239</v>
      </c>
    </row>
    <row r="119" spans="1:1" x14ac:dyDescent="0.25">
      <c r="A119" t="s">
        <v>240</v>
      </c>
    </row>
    <row r="120" spans="1:1" x14ac:dyDescent="0.25">
      <c r="A120" t="s">
        <v>241</v>
      </c>
    </row>
    <row r="121" spans="1:1" x14ac:dyDescent="0.25">
      <c r="A121" t="s">
        <v>242</v>
      </c>
    </row>
    <row r="122" spans="1:1" x14ac:dyDescent="0.25">
      <c r="A122" t="s">
        <v>243</v>
      </c>
    </row>
    <row r="123" spans="1:1" x14ac:dyDescent="0.25">
      <c r="A123" t="s">
        <v>244</v>
      </c>
    </row>
    <row r="124" spans="1:1" x14ac:dyDescent="0.25">
      <c r="A124" t="s">
        <v>245</v>
      </c>
    </row>
    <row r="125" spans="1:1" x14ac:dyDescent="0.25">
      <c r="A125" t="s">
        <v>246</v>
      </c>
    </row>
    <row r="126" spans="1:1" x14ac:dyDescent="0.25">
      <c r="A126" t="s">
        <v>247</v>
      </c>
    </row>
    <row r="127" spans="1:1" x14ac:dyDescent="0.25">
      <c r="A127" t="s">
        <v>248</v>
      </c>
    </row>
    <row r="128" spans="1:1" x14ac:dyDescent="0.25">
      <c r="A128" t="s">
        <v>247</v>
      </c>
    </row>
    <row r="129" spans="1:1" x14ac:dyDescent="0.25">
      <c r="A129" t="s">
        <v>249</v>
      </c>
    </row>
    <row r="130" spans="1:1" x14ac:dyDescent="0.25">
      <c r="A130" t="s">
        <v>250</v>
      </c>
    </row>
    <row r="131" spans="1:1" x14ac:dyDescent="0.25">
      <c r="A131" t="s">
        <v>251</v>
      </c>
    </row>
    <row r="132" spans="1:1" x14ac:dyDescent="0.25">
      <c r="A132" t="s">
        <v>252</v>
      </c>
    </row>
    <row r="133" spans="1:1" x14ac:dyDescent="0.25">
      <c r="A133" t="s">
        <v>253</v>
      </c>
    </row>
    <row r="134" spans="1:1" x14ac:dyDescent="0.25">
      <c r="A134" t="s">
        <v>254</v>
      </c>
    </row>
    <row r="135" spans="1:1" x14ac:dyDescent="0.25">
      <c r="A135" t="s">
        <v>255</v>
      </c>
    </row>
    <row r="136" spans="1:1" x14ac:dyDescent="0.25">
      <c r="A136" t="s">
        <v>256</v>
      </c>
    </row>
    <row r="137" spans="1:1" x14ac:dyDescent="0.25">
      <c r="A137" t="s">
        <v>257</v>
      </c>
    </row>
    <row r="138" spans="1:1" x14ac:dyDescent="0.25">
      <c r="A138" t="s">
        <v>258</v>
      </c>
    </row>
    <row r="139" spans="1:1" x14ac:dyDescent="0.25">
      <c r="A139" t="s">
        <v>259</v>
      </c>
    </row>
    <row r="140" spans="1:1" x14ac:dyDescent="0.25">
      <c r="A140" t="s">
        <v>260</v>
      </c>
    </row>
    <row r="141" spans="1:1" x14ac:dyDescent="0.25">
      <c r="A141" t="s">
        <v>258</v>
      </c>
    </row>
    <row r="142" spans="1:1" x14ac:dyDescent="0.25">
      <c r="A142" t="s">
        <v>261</v>
      </c>
    </row>
    <row r="143" spans="1:1" x14ac:dyDescent="0.25">
      <c r="A143" t="s">
        <v>262</v>
      </c>
    </row>
    <row r="144" spans="1:1" x14ac:dyDescent="0.25">
      <c r="A144" t="s">
        <v>263</v>
      </c>
    </row>
    <row r="145" spans="1:1" x14ac:dyDescent="0.25">
      <c r="A145" t="s">
        <v>264</v>
      </c>
    </row>
    <row r="146" spans="1:1" x14ac:dyDescent="0.25">
      <c r="A146" t="s">
        <v>265</v>
      </c>
    </row>
    <row r="147" spans="1:1" x14ac:dyDescent="0.25">
      <c r="A147" t="s">
        <v>266</v>
      </c>
    </row>
    <row r="148" spans="1:1" x14ac:dyDescent="0.25">
      <c r="A148" t="s">
        <v>267</v>
      </c>
    </row>
    <row r="149" spans="1:1" x14ac:dyDescent="0.25">
      <c r="A149" t="s">
        <v>268</v>
      </c>
    </row>
    <row r="150" spans="1:1" x14ac:dyDescent="0.25">
      <c r="A150" t="s">
        <v>269</v>
      </c>
    </row>
    <row r="151" spans="1:1" x14ac:dyDescent="0.25">
      <c r="A151" t="s">
        <v>270</v>
      </c>
    </row>
    <row r="152" spans="1:1" x14ac:dyDescent="0.25">
      <c r="A152" t="s">
        <v>271</v>
      </c>
    </row>
    <row r="153" spans="1:1" x14ac:dyDescent="0.25">
      <c r="A153" t="s">
        <v>272</v>
      </c>
    </row>
    <row r="154" spans="1:1" x14ac:dyDescent="0.25">
      <c r="A154" t="s">
        <v>273</v>
      </c>
    </row>
    <row r="155" spans="1:1" x14ac:dyDescent="0.25">
      <c r="A155" t="s">
        <v>274</v>
      </c>
    </row>
    <row r="156" spans="1:1" x14ac:dyDescent="0.25">
      <c r="A156" t="s">
        <v>275</v>
      </c>
    </row>
    <row r="157" spans="1:1" x14ac:dyDescent="0.25">
      <c r="A157" t="s">
        <v>276</v>
      </c>
    </row>
    <row r="158" spans="1:1" x14ac:dyDescent="0.25">
      <c r="A158" t="s">
        <v>277</v>
      </c>
    </row>
    <row r="159" spans="1:1" x14ac:dyDescent="0.25">
      <c r="A159" t="s">
        <v>278</v>
      </c>
    </row>
    <row r="160" spans="1:1" x14ac:dyDescent="0.25">
      <c r="A160" t="s">
        <v>279</v>
      </c>
    </row>
    <row r="161" spans="1:1" x14ac:dyDescent="0.25">
      <c r="A161" t="s">
        <v>280</v>
      </c>
    </row>
    <row r="162" spans="1:1" x14ac:dyDescent="0.25">
      <c r="A162" t="s">
        <v>281</v>
      </c>
    </row>
    <row r="163" spans="1:1" x14ac:dyDescent="0.25">
      <c r="A163" t="s">
        <v>282</v>
      </c>
    </row>
    <row r="164" spans="1:1" x14ac:dyDescent="0.25">
      <c r="A164" t="s">
        <v>283</v>
      </c>
    </row>
    <row r="165" spans="1:1" x14ac:dyDescent="0.25">
      <c r="A165" t="s">
        <v>284</v>
      </c>
    </row>
    <row r="166" spans="1:1" x14ac:dyDescent="0.25">
      <c r="A166" t="s">
        <v>285</v>
      </c>
    </row>
    <row r="167" spans="1:1" x14ac:dyDescent="0.25">
      <c r="A167" t="s">
        <v>286</v>
      </c>
    </row>
    <row r="168" spans="1:1" x14ac:dyDescent="0.25">
      <c r="A168" t="s">
        <v>287</v>
      </c>
    </row>
    <row r="169" spans="1:1" x14ac:dyDescent="0.25">
      <c r="A169" t="s">
        <v>288</v>
      </c>
    </row>
    <row r="170" spans="1:1" x14ac:dyDescent="0.25">
      <c r="A170" t="s">
        <v>289</v>
      </c>
    </row>
    <row r="171" spans="1:1" x14ac:dyDescent="0.25">
      <c r="A171" t="s">
        <v>290</v>
      </c>
    </row>
    <row r="172" spans="1:1" x14ac:dyDescent="0.25">
      <c r="A172" t="s">
        <v>291</v>
      </c>
    </row>
    <row r="173" spans="1:1" x14ac:dyDescent="0.25">
      <c r="A173" t="s">
        <v>292</v>
      </c>
    </row>
    <row r="174" spans="1:1" x14ac:dyDescent="0.25">
      <c r="A174" t="s">
        <v>293</v>
      </c>
    </row>
    <row r="175" spans="1:1" x14ac:dyDescent="0.25">
      <c r="A175" t="s">
        <v>294</v>
      </c>
    </row>
    <row r="176" spans="1:1" x14ac:dyDescent="0.25">
      <c r="A176" t="s">
        <v>295</v>
      </c>
    </row>
    <row r="177" spans="1:1" x14ac:dyDescent="0.25">
      <c r="A177" t="s">
        <v>296</v>
      </c>
    </row>
    <row r="178" spans="1:1" x14ac:dyDescent="0.25">
      <c r="A178" t="s">
        <v>297</v>
      </c>
    </row>
    <row r="179" spans="1:1" x14ac:dyDescent="0.25">
      <c r="A179" t="s">
        <v>298</v>
      </c>
    </row>
    <row r="180" spans="1:1" x14ac:dyDescent="0.25">
      <c r="A180" t="s">
        <v>299</v>
      </c>
    </row>
    <row r="181" spans="1:1" x14ac:dyDescent="0.25">
      <c r="A181" t="s">
        <v>300</v>
      </c>
    </row>
    <row r="182" spans="1:1" x14ac:dyDescent="0.25">
      <c r="A182" t="s">
        <v>301</v>
      </c>
    </row>
    <row r="183" spans="1:1" x14ac:dyDescent="0.25">
      <c r="A183" t="s">
        <v>302</v>
      </c>
    </row>
    <row r="184" spans="1:1" x14ac:dyDescent="0.25">
      <c r="A184" t="s">
        <v>303</v>
      </c>
    </row>
    <row r="185" spans="1:1" x14ac:dyDescent="0.25">
      <c r="A185" t="s">
        <v>304</v>
      </c>
    </row>
    <row r="186" spans="1:1" x14ac:dyDescent="0.25">
      <c r="A186" t="s">
        <v>305</v>
      </c>
    </row>
    <row r="187" spans="1:1" x14ac:dyDescent="0.25">
      <c r="A187" t="s">
        <v>306</v>
      </c>
    </row>
    <row r="188" spans="1:1" x14ac:dyDescent="0.25">
      <c r="A188" t="s">
        <v>307</v>
      </c>
    </row>
    <row r="189" spans="1:1" x14ac:dyDescent="0.25">
      <c r="A189" t="s">
        <v>308</v>
      </c>
    </row>
    <row r="190" spans="1:1" x14ac:dyDescent="0.25">
      <c r="A190" t="s">
        <v>309</v>
      </c>
    </row>
    <row r="191" spans="1:1" x14ac:dyDescent="0.25">
      <c r="A191" t="s">
        <v>310</v>
      </c>
    </row>
    <row r="192" spans="1:1" x14ac:dyDescent="0.25">
      <c r="A192" t="s">
        <v>311</v>
      </c>
    </row>
    <row r="193" spans="1:1" x14ac:dyDescent="0.25">
      <c r="A193" t="s">
        <v>312</v>
      </c>
    </row>
    <row r="194" spans="1:1" x14ac:dyDescent="0.25">
      <c r="A194" t="s">
        <v>313</v>
      </c>
    </row>
    <row r="195" spans="1:1" x14ac:dyDescent="0.25">
      <c r="A195" t="s">
        <v>314</v>
      </c>
    </row>
    <row r="196" spans="1:1" x14ac:dyDescent="0.25">
      <c r="A196" t="s">
        <v>315</v>
      </c>
    </row>
    <row r="197" spans="1:1" x14ac:dyDescent="0.25">
      <c r="A197" t="s">
        <v>316</v>
      </c>
    </row>
    <row r="198" spans="1:1" x14ac:dyDescent="0.25">
      <c r="A198" t="s">
        <v>317</v>
      </c>
    </row>
    <row r="199" spans="1:1" x14ac:dyDescent="0.25">
      <c r="A199" t="s">
        <v>318</v>
      </c>
    </row>
    <row r="200" spans="1:1" x14ac:dyDescent="0.25">
      <c r="A200" t="s">
        <v>319</v>
      </c>
    </row>
    <row r="201" spans="1:1" x14ac:dyDescent="0.25">
      <c r="A201" t="s">
        <v>317</v>
      </c>
    </row>
    <row r="202" spans="1:1" x14ac:dyDescent="0.25">
      <c r="A202" t="s">
        <v>320</v>
      </c>
    </row>
    <row r="203" spans="1:1" x14ac:dyDescent="0.25">
      <c r="A203" t="s">
        <v>321</v>
      </c>
    </row>
    <row r="204" spans="1:1" x14ac:dyDescent="0.25">
      <c r="A204" t="s">
        <v>322</v>
      </c>
    </row>
    <row r="205" spans="1:1" x14ac:dyDescent="0.25">
      <c r="A205" t="s">
        <v>323</v>
      </c>
    </row>
    <row r="206" spans="1:1" x14ac:dyDescent="0.25">
      <c r="A206" t="s">
        <v>324</v>
      </c>
    </row>
    <row r="207" spans="1:1" x14ac:dyDescent="0.25">
      <c r="A207" t="s">
        <v>325</v>
      </c>
    </row>
    <row r="208" spans="1:1" x14ac:dyDescent="0.25">
      <c r="A208" t="s">
        <v>326</v>
      </c>
    </row>
    <row r="209" spans="1:1" x14ac:dyDescent="0.25">
      <c r="A209" t="s">
        <v>327</v>
      </c>
    </row>
    <row r="210" spans="1:1" x14ac:dyDescent="0.25">
      <c r="A210" t="s">
        <v>328</v>
      </c>
    </row>
    <row r="211" spans="1:1" x14ac:dyDescent="0.25">
      <c r="A211" t="s">
        <v>329</v>
      </c>
    </row>
    <row r="212" spans="1:1" x14ac:dyDescent="0.25">
      <c r="A212" t="s">
        <v>330</v>
      </c>
    </row>
    <row r="213" spans="1:1" x14ac:dyDescent="0.25">
      <c r="A213" t="s">
        <v>331</v>
      </c>
    </row>
    <row r="214" spans="1:1" x14ac:dyDescent="0.25">
      <c r="A214" t="s">
        <v>332</v>
      </c>
    </row>
    <row r="215" spans="1:1" x14ac:dyDescent="0.25">
      <c r="A215" t="s">
        <v>333</v>
      </c>
    </row>
    <row r="216" spans="1:1" x14ac:dyDescent="0.25">
      <c r="A216" t="s">
        <v>334</v>
      </c>
    </row>
    <row r="217" spans="1:1" x14ac:dyDescent="0.25">
      <c r="A217" t="s">
        <v>332</v>
      </c>
    </row>
    <row r="218" spans="1:1" x14ac:dyDescent="0.25">
      <c r="A218" t="s">
        <v>333</v>
      </c>
    </row>
    <row r="219" spans="1:1" x14ac:dyDescent="0.25">
      <c r="A219" t="s">
        <v>335</v>
      </c>
    </row>
    <row r="220" spans="1:1" x14ac:dyDescent="0.25">
      <c r="A220" t="s">
        <v>336</v>
      </c>
    </row>
    <row r="221" spans="1:1" x14ac:dyDescent="0.25">
      <c r="A221" t="s">
        <v>337</v>
      </c>
    </row>
    <row r="222" spans="1:1" x14ac:dyDescent="0.25">
      <c r="A222" t="s">
        <v>338</v>
      </c>
    </row>
    <row r="223" spans="1:1" x14ac:dyDescent="0.25">
      <c r="A223" t="s">
        <v>339</v>
      </c>
    </row>
    <row r="224" spans="1:1" x14ac:dyDescent="0.25">
      <c r="A224" t="s">
        <v>340</v>
      </c>
    </row>
    <row r="225" spans="1:1" x14ac:dyDescent="0.25">
      <c r="A225" t="s">
        <v>341</v>
      </c>
    </row>
    <row r="226" spans="1:1" x14ac:dyDescent="0.25">
      <c r="A226" t="s">
        <v>342</v>
      </c>
    </row>
    <row r="227" spans="1:1" x14ac:dyDescent="0.25">
      <c r="A227" t="s">
        <v>343</v>
      </c>
    </row>
    <row r="228" spans="1:1" x14ac:dyDescent="0.25">
      <c r="A228" t="s">
        <v>344</v>
      </c>
    </row>
    <row r="229" spans="1:1" x14ac:dyDescent="0.25">
      <c r="A229" t="s">
        <v>345</v>
      </c>
    </row>
    <row r="230" spans="1:1" x14ac:dyDescent="0.25">
      <c r="A230" t="s">
        <v>346</v>
      </c>
    </row>
    <row r="231" spans="1:1" x14ac:dyDescent="0.25">
      <c r="A231" t="s">
        <v>347</v>
      </c>
    </row>
    <row r="232" spans="1:1" x14ac:dyDescent="0.25">
      <c r="A232" t="s">
        <v>348</v>
      </c>
    </row>
    <row r="233" spans="1:1" x14ac:dyDescent="0.25">
      <c r="A233" t="s">
        <v>349</v>
      </c>
    </row>
    <row r="234" spans="1:1" x14ac:dyDescent="0.25">
      <c r="A234" t="s">
        <v>350</v>
      </c>
    </row>
    <row r="235" spans="1:1" x14ac:dyDescent="0.25">
      <c r="A235" t="s">
        <v>351</v>
      </c>
    </row>
    <row r="236" spans="1:1" x14ac:dyDescent="0.25">
      <c r="A236" t="s">
        <v>349</v>
      </c>
    </row>
    <row r="237" spans="1:1" x14ac:dyDescent="0.25">
      <c r="A237" t="s">
        <v>352</v>
      </c>
    </row>
    <row r="238" spans="1:1" x14ac:dyDescent="0.25">
      <c r="A238" t="s">
        <v>353</v>
      </c>
    </row>
    <row r="239" spans="1:1" x14ac:dyDescent="0.25">
      <c r="A239" t="s">
        <v>354</v>
      </c>
    </row>
    <row r="240" spans="1:1" x14ac:dyDescent="0.25">
      <c r="A24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varsCategorized</vt:lpstr>
      <vt:lpstr>cols_hbsc2018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Guillioli Schippers Walter</cp:lastModifiedBy>
  <dcterms:created xsi:type="dcterms:W3CDTF">2026-03-15T18:17:51Z</dcterms:created>
  <dcterms:modified xsi:type="dcterms:W3CDTF">2026-03-16T15:27:04Z</dcterms:modified>
</cp:coreProperties>
</file>